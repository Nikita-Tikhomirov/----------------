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9cb0bde0e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8f18db7e25843da"/>
    <x:sheet xmlns:r="http://schemas.openxmlformats.org/officeDocument/2006/relationships" name="ТЗ форм" sheetId="2" r:id="R67137ba0deeb47ed"/>
    <x:sheet xmlns:r="http://schemas.openxmlformats.org/officeDocument/2006/relationships" name="Матрица форм" sheetId="3" r:id="R85c8308ffdc1440f"/>
    <x:sheet xmlns:r="http://schemas.openxmlformats.org/officeDocument/2006/relationships" name="Перенос" sheetId="4" r:id="Rb9139b2c2dc940fe"/>
    <x:sheet xmlns:r="http://schemas.openxmlformats.org/officeDocument/2006/relationships" name="Прочие задачи" sheetId="5" r:id="Re1d367449a4b4a8b"/>
    <x:sheet xmlns:r="http://schemas.openxmlformats.org/officeDocument/2006/relationships" name="QA доказательства" sheetId="6" r:id="R7a1f75f25113413c"/>
    <x:sheet xmlns:r="http://schemas.openxmlformats.org/officeDocument/2006/relationships" name="История" sheetId="7" r:id="R61576eaf93d3496e"/>
    <x:sheet xmlns:r="http://schemas.openxmlformats.org/officeDocument/2006/relationships" name="Источники" sheetId="8" r:id="R7a06c4b7aa01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52606D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b/>
      <x:sz val="11"/>
      <x:color rgb="FF17324D"/>
      <x:name val="Carlito"/>
    </x:font>
    <x:font>
      <x:b/>
      <x:sz val="11"/>
      <x:color rgb="FFB42318"/>
      <x:name val="Carlito"/>
    </x:font>
    <x:font>
      <x:b/>
      <x:sz val="17"/>
      <x:color rgb="FFFFFFFF"/>
      <x:name val="Carlito"/>
    </x:font>
    <x:font>
      <x:sz val="9"/>
      <x:color rgb="FF1F2933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245B78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E8F3F0"/>
      </x:patternFill>
    </x:fill>
  </x:fills>
  <x:borders count="30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B42318"/>
      </x:left>
      <x:top style="thin">
        <x:color rgb="FFB42318"/>
      </x:top>
    </x:border>
    <x:border>
      <x:top style="thin">
        <x:color rgb="FFB42318"/>
      </x:top>
    </x:border>
    <x:border>
      <x:right style="thin">
        <x:color rgb="FFB42318"/>
      </x:right>
      <x:top style="thin">
        <x:color rgb="FFB42318"/>
      </x:top>
    </x:border>
    <x:border>
      <x:left style="thin">
        <x:color rgb="FFB42318"/>
      </x:left>
    </x:border>
    <x:border>
      <x:right style="thin">
        <x:color rgb="FFB42318"/>
      </x:right>
    </x:border>
    <x:border>
      <x:left style="thin">
        <x:color rgb="FFB42318"/>
      </x:left>
      <x:bottom style="thin">
        <x:color rgb="FFB42318"/>
      </x:bottom>
    </x:border>
    <x:border>
      <x:bottom style="thin">
        <x:color rgb="FFB42318"/>
      </x:bottom>
    </x:border>
    <x:border>
      <x:right style="thin">
        <x:color rgb="FFB42318"/>
      </x:right>
      <x:bottom style="thin">
        <x:color rgb="FFB42318"/>
      </x:bottom>
    </x:border>
    <x:border>
      <x:left style="thin">
        <x:color rgb="FF9A6700"/>
      </x:left>
      <x:top style="thin">
        <x:color rgb="FF9A6700"/>
      </x:top>
    </x:border>
    <x:border>
      <x:top style="thin">
        <x:color rgb="FF9A6700"/>
      </x:top>
    </x:border>
    <x:border>
      <x:right style="thin">
        <x:color rgb="FF9A6700"/>
      </x:right>
      <x:top style="thin">
        <x:color rgb="FF9A6700"/>
      </x:top>
    </x:border>
    <x:border>
      <x:left style="thin">
        <x:color rgb="FF9A6700"/>
      </x:left>
    </x:border>
    <x:border>
      <x:right style="thin">
        <x:color rgb="FF9A6700"/>
      </x:right>
    </x:border>
    <x:border>
      <x:left style="thin">
        <x:color rgb="FF9A6700"/>
      </x:left>
      <x:bottom style="thin">
        <x:color rgb="FF9A6700"/>
      </x:bottom>
    </x:border>
    <x:border>
      <x:bottom style="thin">
        <x:color rgb="FF9A6700"/>
      </x:bottom>
    </x:border>
    <x:border>
      <x:right style="thin">
        <x:color rgb="FF9A6700"/>
      </x:right>
      <x:bottom style="thin">
        <x:color rgb="FF9A6700"/>
      </x:bottom>
    </x:border>
    <x:border>
      <x:left style="thin">
        <x:color rgb="FF2F766D"/>
      </x:left>
      <x:top style="thin">
        <x:color rgb="FF2F766D"/>
      </x:top>
    </x:border>
    <x:border>
      <x:top style="thin">
        <x:color rgb="FF2F766D"/>
      </x:top>
    </x:border>
    <x:border>
      <x:right style="thin">
        <x:color rgb="FF2F766D"/>
      </x:right>
      <x:top style="thin">
        <x:color rgb="FF2F766D"/>
      </x:top>
    </x:border>
    <x:border>
      <x:left style="thin">
        <x:color rgb="FF2F766D"/>
      </x:left>
    </x:border>
    <x:border>
      <x:right style="thin">
        <x:color rgb="FF2F766D"/>
      </x:right>
    </x:border>
    <x:border>
      <x:left style="thin">
        <x:color rgb="FF2F766D"/>
      </x:left>
      <x:bottom style="thin">
        <x:color rgb="FF2F766D"/>
      </x:bottom>
    </x:border>
    <x:border>
      <x:bottom style="thin">
        <x:color rgb="FF2F766D"/>
      </x:bottom>
    </x:border>
    <x:border>
      <x:right style="thin">
        <x:color rgb="FF2F766D"/>
      </x:right>
      <x:bottom style="thin">
        <x:color rgb="FF2F766D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  <x:xf numFmtId="20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0" xfId="0" applyNumberFormat="1" applyFont="1" applyFill="1" applyBorder="1" applyAlignment="1">
      <x:alignment wrapText="1"/>
    </x:xf>
    <x:xf numFmtId="0" fontId="4" fillId="7" borderId="21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22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0" fontId="4" fillId="7" borderId="25" xfId="0" applyNumberFormat="1" applyFont="1" applyFill="1" applyBorder="1" applyAlignment="1">
      <x:alignment vertical="center"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28" xfId="0" applyNumberFormat="1" applyFont="1" applyFill="1" applyBorder="1" applyAlignment="1">
      <x:alignment vertical="top" wrapText="1"/>
    </x:xf>
    <x:xf numFmtId="0" fontId="9" fillId="4" borderId="2" xfId="0" applyNumberFormat="1" applyFont="1" applyFill="1" applyBorder="1" applyAlignment="1">
      <x:alignment vertical="top" wrapText="1"/>
    </x:xf>
    <x:xf numFmtId="0" fontId="9" fillId="4" borderId="29" xfId="0" applyNumberFormat="1" applyFont="1" applyFill="1" applyBorder="1" applyAlignment="1">
      <x:alignment vertical="top" wrapText="1"/>
    </x:xf>
    <x:xf numFmtId="0" fontId="9" fillId="4" borderId="28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29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52606D"/>
      </x:font>
      <x:fill>
        <x:patternFill patternType="solid">
          <x:bgColor rgb="FFEEF1F4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52606D"/>
      </x:font>
      <x:fill>
        <x:patternFill patternType="solid">
          <x:bgColor rgb="FFEEF1F4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52606D"/>
      </x:font>
      <x:fill>
        <x:patternFill patternType="solid">
          <x:bgColor rgb="FFEEF1F4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52606D"/>
      </x:font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cd87fd1b74fcb" /><Relationship Type="http://schemas.openxmlformats.org/officeDocument/2006/relationships/theme" Target="/xl/theme/theme1.xml" Id="R84975d3f0e7c4791" /><Relationship Type="http://schemas.openxmlformats.org/officeDocument/2006/relationships/sharedStrings" Target="/xl/sharedStrings.xml" Id="Rc128791f858b42a1" /><Relationship Type="http://schemas.openxmlformats.org/officeDocument/2006/relationships/worksheet" Target="/xl/worksheets/sheet1.xml" Id="R78f18db7e25843da" /><Relationship Type="http://schemas.openxmlformats.org/officeDocument/2006/relationships/worksheet" Target="/xl/worksheets/sheet2.xml" Id="R67137ba0deeb47ed" /><Relationship Type="http://schemas.openxmlformats.org/officeDocument/2006/relationships/worksheet" Target="/xl/worksheets/sheet3.xml" Id="R85c8308ffdc1440f" /><Relationship Type="http://schemas.openxmlformats.org/officeDocument/2006/relationships/worksheet" Target="/xl/worksheets/sheet4.xml" Id="Rb9139b2c2dc940fe" /><Relationship Type="http://schemas.openxmlformats.org/officeDocument/2006/relationships/worksheet" Target="/xl/worksheets/sheet5.xml" Id="Re1d367449a4b4a8b" /><Relationship Type="http://schemas.openxmlformats.org/officeDocument/2006/relationships/worksheet" Target="/xl/worksheets/sheet6.xml" Id="R7a1f75f25113413c" /><Relationship Type="http://schemas.openxmlformats.org/officeDocument/2006/relationships/worksheet" Target="/xl/worksheets/sheet7.xml" Id="R61576eaf93d3496e" /><Relationship Type="http://schemas.openxmlformats.org/officeDocument/2006/relationships/worksheet" Target="/xl/worksheets/sheet8.xml" Id="R7a06c4b7aa014d66" /></Relationships>
</file>

<file path=xl/tables/table1.xml><?xml version="1.0" encoding="utf-8"?>
<x:table xmlns:x="http://schemas.openxmlformats.org/spreadsheetml/2006/main" id="1" name="FormRequirementsTable" displayName="FormRequirementsTable" ref="A4:G24" headerRowCount="1" totalsRowCount="0" totalsRowShown="0">
  <x:autoFilter ref="A4:G24"/>
  <x:tableColumns count="7">
    <x:tableColumn id="1" name="ID"/>
    <x:tableColumn id="2" name="Раздел"/>
    <x:tableColumn id="3" name="Действующее требование"/>
    <x:tableColumn id="4" name="Критерий приёмки"/>
    <x:tableColumn id="5" name="Источник"/>
    <x:tableColumn id="6" name="Приоритет"/>
    <x:tableColumn id="7" name="Верс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SiteMatrixTable" displayName="FormSiteMatrixTable" ref="A4:N39" headerRowCount="1" totalsRowCount="0" totalsRowShown="0">
  <x:autoFilter ref="A4:N39"/>
  <x:tableColumns count="14">
    <x:tableColumn id="1" name="№"/>
    <x:tableColumn id="2" name="Домен"/>
    <x:tableColumn id="3" name="Scope"/>
    <x:tableColumn id="4" name="Семейство"/>
    <x:tableColumn id="5" name="Исходная проблема"/>
    <x:tableColumn id="6" name="Старая приёмка"/>
    <x:tableColumn id="7" name="Свежий UI QA"/>
    <x:tableColumn id="8" name="Invalid QA"/>
    <x:tableColumn id="9" name="Valid delivery"/>
    <x:tableColumn id="10" name="Ошибки страницы/DNS"/>
    <x:tableColumn id="11" name="Доказательство"/>
    <x:tableColumn id="12" name="Статус"/>
    <x:tableColumn id="13" name="Реально осталось"/>
    <x:tableColumn id="14" name="Gmail/источни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grationMatrixTable" displayName="MigrationMatrixTable" ref="A4:I52" headerRowCount="1" totalsRowCount="0" totalsRowShown="0">
  <x:autoFilter ref="A4:I52"/>
  <x:tableColumns count="9">
    <x:tableColumn id="1" name="№"/>
    <x:tableColumn id="2" name="Домен"/>
    <x:tableColumn id="3" name="Категория"/>
    <x:tableColumn id="4" name="Основание scope"/>
    <x:tableColumn id="5" name="Историческое доказательство"/>
    <x:tableColumn id="6" name="Фактический статус"/>
    <x:tableColumn id="7" name="Реально осталось"/>
    <x:tableColumn id="8" name="Статус"/>
    <x:tableColumn id="9" name="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therTasksTable" displayName="OtherTasksTable" ref="A4:G11" headerRowCount="1" totalsRowCount="0" totalsRowShown="0">
  <x:autoFilter ref="A4:G11"/>
  <x:tableColumns count="7">
    <x:tableColumn id="1" name="ID"/>
    <x:tableColumn id="2" name="Объект"/>
    <x:tableColumn id="3" name="Тип"/>
    <x:tableColumn id="4" name="Фактический статус"/>
    <x:tableColumn id="5" name="Остаток"/>
    <x:tableColumn id="6" name="Статус"/>
    <x:tableColumn id="7" name="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EvidenceTable" displayName="QaEvidenceTable" ref="A4:N39" headerRowCount="1" totalsRowCount="0" totalsRowShown="0">
  <x:autoFilter ref="A4:N39"/>
  <x:tableColumns count="14">
    <x:tableColumn id="1" name="№"/>
    <x:tableColumn id="2" name="Домен"/>
    <x:tableColumn id="3" name="Scope"/>
    <x:tableColumn id="4" name="Семейство"/>
    <x:tableColumn id="5" name="UI QA"/>
    <x:tableColumn id="6" name="Failures"/>
    <x:tableColumn id="7" name="Скриншоты"/>
    <x:tableColumn id="8" name="Invalid path"/>
    <x:tableColumn id="9" name="Valid delivery"/>
    <x:tableColumn id="10" name="PageErrors"/>
    <x:tableColumn id="11" name="Ошибки/console"/>
    <x:tableColumn id="12" name="DNS/mail"/>
    <x:tableColumn id="13" name="Статус"/>
    <x:tableColumn id="14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istoryTable" displayName="HistoryTable" ref="A4:F37" headerRowCount="1" totalsRowCount="0" totalsRowShown="0">
  <x:autoFilter ref="A4:F37"/>
  <x:tableColumns count="6">
    <x:tableColumn id="1" name="Дата"/>
    <x:tableColumn id="2" name="Gmail/thread ID"/>
    <x:tableColumn id="3" name="Автор"/>
    <x:tableColumn id="4" name="Объект"/>
    <x:tableColumn id="5" name="Событие"/>
    <x:tableColumn id="6" name="Влияние на ТЗ/стату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H127" headerRowCount="1" totalsRowCount="0" totalsRowShown="0">
  <x:autoFilter ref="A4:H127"/>
  <x:tableColumns count="8">
    <x:tableColumn id="1" name="№"/>
    <x:tableColumn id="2" name="Тип"/>
    <x:tableColumn id="3" name="Дата"/>
    <x:tableColumn id="4" name="Message/File ID"/>
    <x:tableColumn id="5" name="Thread ID"/>
    <x:tableColumn id="6" name="Тема/файл/назначение"/>
    <x:tableColumn id="7" name="Примечание"/>
    <x:tableColumn id="8" name="Размер/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8099a04228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5795246401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21e755cf3f45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e40e4ad5540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8b654817324a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479508830748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4a03c33bba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АП-Риал: ТЗ, доказательства и реальный остаток</x:v>
      </x:c>
    </x:row>
    <x:row r="2" ht="28" customHeight="1">
      <x:c r="A2" s="6" t="str">
        <x:v>Срез 01.08.2026. Клиенту ничего не отправлялось; сайты в рамках этого аудита не изменялись.</x:v>
      </x:c>
    </x:row>
    <x:row r="4">
      <x:c r="A4" s="9" t="str">
        <x:v>Формы</x:v>
      </x:c>
      <x:c r="B4" s="9" t="str">
        <x:v>Значение</x:v>
      </x:c>
      <x:c r="D4" s="9" t="str">
        <x:v>Ключевой вывод</x:v>
      </x:c>
      <x:c r="E4" s="9"/>
      <x:c r="F4" s="9"/>
    </x:row>
    <x:row r="5">
      <x:c r="A5" s="14" t="str">
        <x:v>Всего доменов в перечне</x:v>
      </x:c>
      <x:c r="B5" s="22" t="n">
        <x:f>COUNTA('Матрица форм'!$B$5:$B$39)</x:f>
        <x:v>35</x:v>
      </x:c>
      <x:c r="D5" s="46" t="str">
        <x:v>Нельзя утверждать, что всё выполнено. На 30 включённых доменах интерфейс проверен desktop/mobile, но только mchs-spb.ru имеет полный непрерывный набор доказательств текущей доставки обеих форм. Для остальных 29 нужна свежая валидная доставка и устранение выявленных ошибок.</x:v>
      </x:c>
      <x:c r="E5" s="47"/>
      <x:c r="F5" s="48"/>
    </x:row>
    <x:row r="6">
      <x:c r="A6" s="15" t="str">
        <x:v>Включено в унификацию</x:v>
      </x:c>
      <x:c r="B6" s="23" t="n">
        <x:f>COUNTIF('Матрица форм'!$C$5:$C$39,"Включён")</x:f>
        <x:v>30</x:v>
      </x:c>
      <x:c r="D6" s="49"/>
      <x:c r="E6" s="50"/>
      <x:c r="F6" s="51"/>
    </x:row>
    <x:row r="7">
      <x:c r="A7" s="15" t="str">
        <x:v>Полностью готово среди включённых</x:v>
      </x:c>
      <x:c r="B7" s="23" t="n">
        <x:f>COUNTIFS('Матрица форм'!$C$5:$C$39,"Включён",'Матрица форм'!$L$5:$L$39,"ГОТОВО")</x:f>
        <x:v>1</x:v>
      </x:c>
      <x:c r="D7" s="49"/>
      <x:c r="E7" s="50"/>
      <x:c r="F7" s="51"/>
    </x:row>
    <x:row r="8">
      <x:c r="A8" s="15" t="str">
        <x:v>Частично среди включённых</x:v>
      </x:c>
      <x:c r="B8" s="23" t="n">
        <x:f>COUNTIFS('Матрица форм'!$C$5:$C$39,"Включён",'Матрица форм'!$L$5:$L$39,"ЧАСТИЧНО")</x:f>
        <x:v>29</x:v>
      </x:c>
      <x:c r="D8" s="52"/>
      <x:c r="E8" s="53"/>
      <x:c r="F8" s="54"/>
    </x:row>
    <x:row r="9">
      <x:c r="A9" s="15" t="str">
        <x:v>Исключено из форм</x:v>
      </x:c>
      <x:c r="B9" s="23" t="n">
        <x:f>COUNTIF('Матрица форм'!$C$5:$C$39,"Исключён")</x:f>
        <x:v>5</x:v>
      </x:c>
    </x:row>
    <x:row r="10">
      <x:c r="A10" s="15" t="str">
        <x:v>Блокировано</x:v>
      </x:c>
      <x:c r="B10" s="23" t="n">
        <x:f>COUNTIF('Матрица форм'!$L$5:$L$39,"БЛОКИРОВАНО")</x:f>
        <x:v>1</x:v>
      </x:c>
      <x:c r="D10" s="9" t="str">
        <x:v>Почему прошлый итоговый отчёт был неточным</x:v>
      </x:c>
      <x:c r="E10" s="9"/>
      <x:c r="F10" s="9"/>
    </x:row>
    <x:row r="11">
      <x:c r="A11" s="16" t="str">
        <x:v>Домены с pageErrors, включая lic-k.ru</x:v>
      </x:c>
      <x:c r="B11" s="24" t="n">
        <x:f>COUNTIF('QA доказательства'!$J$5:$J$39,"&gt;0")</x:f>
        <x:v>11</x:v>
      </x:c>
      <x:c r="D11" s="74" t="str">
        <x:v>QA 31.07 считал успешным само открытие форм, автоматически не проваливал pageErrors, запускался с тестовым query-параметром и не отправлял валидные письма (actual_mail_requested=false). Поэтому «60/60 views» не равно «обе формы работают и письма доходят».</x:v>
      </x:c>
      <x:c r="E11" s="75"/>
      <x:c r="F11" s="76"/>
    </x:row>
    <x:row r="12">
      <x:c r="B12" s="25"/>
      <x:c r="D12" s="77"/>
      <x:c r="E12" s="78"/>
      <x:c r="F12" s="79"/>
    </x:row>
    <x:row r="13">
      <x:c r="B13" s="25"/>
      <x:c r="D13" s="77"/>
      <x:c r="E13" s="78"/>
      <x:c r="F13" s="79"/>
    </x:row>
    <x:row r="14">
      <x:c r="A14" s="9" t="str">
        <x:v>Перенос</x:v>
      </x:c>
      <x:c r="B14" s="26" t="str">
        <x:v>Значение</x:v>
      </x:c>
      <x:c r="D14" s="77"/>
      <x:c r="E14" s="78"/>
      <x:c r="F14" s="79"/>
    </x:row>
    <x:row r="15">
      <x:c r="A15" s="14" t="str">
        <x:v>Прямо поручено доменов</x:v>
      </x:c>
      <x:c r="B15" s="22" t="n">
        <x:f>COUNTIF('Перенос'!$C$5:$C$52,"Поручен — перенесён")+COUNTIF('Перенос'!$C$5:$C$52,"Поручен — заблокирован")+COUNTIF('Перенос'!$C$5:$C$52,"Поручен — конфликт scope")</x:f>
        <x:v>35</x:v>
      </x:c>
      <x:c r="D15" s="80"/>
      <x:c r="E15" s="81"/>
      <x:c r="F15" s="82"/>
    </x:row>
    <x:row r="16">
      <x:c r="A16" s="15" t="str">
        <x:v>Поручено и перенесено</x:v>
      </x:c>
      <x:c r="B16" s="23" t="n">
        <x:f>COUNTIF('Перенос'!$C$5:$C$52,"Поручен — перенесён")</x:f>
        <x:v>29</x:v>
      </x:c>
    </x:row>
    <x:row r="17">
      <x:c r="A17" s="15" t="str">
        <x:v>Поручено, но заблокировано</x:v>
      </x:c>
      <x:c r="B17" s="23" t="n">
        <x:f>COUNTIF('Перенос'!$C$5:$C$52,"Поручен — заблокирован")</x:f>
        <x:v>5</x:v>
      </x:c>
      <x:c r="D17" s="9" t="str">
        <x:v>Следующее действие после одобрения владельца</x:v>
      </x:c>
      <x:c r="E17" s="9"/>
      <x:c r="F17" s="9"/>
    </x:row>
    <x:row r="18">
      <x:c r="A18" s="15" t="str">
        <x:v>Поручено, конфликт scope</x:v>
      </x:c>
      <x:c r="B18" s="23" t="n">
        <x:f>COUNTIF('Перенос'!$C$5:$C$52,"Поручен — конфликт scope")</x:f>
        <x:v>1</x:v>
      </x:c>
      <x:c r="D18" s="102" t="str">
        <x:v>Работать пачками по техническим семействам. После публикации: remote readback, чистый URL, зрительный desktop/mobile QA, invalid-тест, две реальные заявки, поиск писем, проверка From/Reply-To, DNS/TLS и обновление матрицы. Клиенту не отвечать без отдельного разрешения.</x:v>
      </x:c>
      <x:c r="E18" s="103"/>
      <x:c r="F18" s="104"/>
    </x:row>
    <x:row r="19">
      <x:c r="A19" s="16" t="str">
        <x:v>Перенесено без найденного поручения</x:v>
      </x:c>
      <x:c r="B19" s="24" t="n">
        <x:f>COUNTIF('Перенос'!$C$5:$C$52,"Перенесён — источник поручения не найден")</x:f>
        <x:v>1</x:v>
      </x:c>
      <x:c r="D19" s="105"/>
      <x:c r="E19" s="106"/>
      <x:c r="F19" s="107"/>
    </x:row>
    <x:row r="20">
      <x:c r="D20" s="105"/>
      <x:c r="E20" s="106"/>
      <x:c r="F20" s="107"/>
    </x:row>
    <x:row r="21">
      <x:c r="D21" s="105"/>
      <x:c r="E21" s="106"/>
      <x:c r="F21" s="107"/>
    </x:row>
    <x:row r="22">
      <x:c r="D22" s="108"/>
      <x:c r="E22" s="109"/>
      <x:c r="F22" s="110"/>
    </x:row>
  </x:sheetData>
  <x:mergeCells>
    <x:mergeCell ref="A1:F1"/>
    <x:mergeCell ref="A2:F2"/>
    <x:mergeCell ref="D4:F4"/>
    <x:mergeCell ref="D5:F8"/>
    <x:mergeCell ref="D10:F10"/>
    <x:mergeCell ref="D11:F15"/>
    <x:mergeCell ref="D17:F17"/>
    <x:mergeCell ref="D18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0" hidden="0" customWidth="1"/>
    <x:col min="4" max="4" width="48" hidden="0" customWidth="1"/>
    <x:col min="5" max="5" width="35" hidden="0" customWidth="1"/>
    <x:col min="6" max="6" width="12" hidden="0" customWidth="1"/>
    <x:col min="7" max="7" width="22" hidden="0" customWidth="1"/>
  </x:cols>
  <x:sheetData>
    <x:row r="1" ht="30" customHeight="1">
      <x:c r="A1" s="112" t="str">
        <x:v>Действующее ТЗ по формам</x:v>
      </x:c>
    </x:row>
    <x:row r="2" ht="34" customHeight="1">
      <x:c r="A2" s="114" t="str">
        <x:v>Поздние прямые указания имеют приоритет. Email в форме вопроса отменён; действующая форма вопроса требует телефон, а не email.</x:v>
      </x:c>
    </x:row>
    <x:row r="4" ht="38" customHeight="1">
      <x:c r="A4" s="123" t="str">
        <x:v>ID</x:v>
      </x:c>
      <x:c r="B4" s="124" t="str">
        <x:v>Раздел</x:v>
      </x:c>
      <x:c r="C4" s="124" t="str">
        <x:v>Действующее требование</x:v>
      </x:c>
      <x:c r="D4" s="124" t="str">
        <x:v>Критерий приёмки</x:v>
      </x:c>
      <x:c r="E4" s="124" t="str">
        <x:v>Источник</x:v>
      </x:c>
      <x:c r="F4" s="124" t="str">
        <x:v>Приоритет</x:v>
      </x:c>
      <x:c r="G4" s="125" t="str">
        <x:v>Версия</x:v>
      </x:c>
    </x:row>
    <x:row r="5" ht="86.4000015258789" hidden="0" customHeight="1">
      <x:c r="A5" s="126" t="str">
        <x:v>FRM-001</x:v>
      </x:c>
      <x:c r="B5" s="126" t="str">
        <x:v>Состав</x:v>
      </x:c>
      <x:c r="C5" s="126" t="str">
        <x:v>На каждом включённом домене две формы: ЗАКАЗАТЬ ЗВОНОК и ЗАДАТЬ ВОПРОС.</x:v>
      </x:c>
      <x:c r="D5" s="126" t="str">
        <x:v>Обе формы доступны обычным кликом на desktop и mobile.</x:v>
      </x:c>
      <x:c r="E5" s="126" t="str">
        <x:v>Gmail 19f76757e8d2018e; поздние замечания 19–30.07</x:v>
      </x:c>
      <x:c r="F5" s="126" t="str">
        <x:v>Критично</x:v>
      </x:c>
      <x:c r="G5" s="126" t="str">
        <x:v>Действует</x:v>
      </x:c>
    </x:row>
    <x:row r="6" ht="118.80000305175781" hidden="0" customHeight="1">
      <x:c r="A6" s="127" t="str">
        <x:v>FRM-002</x:v>
      </x:c>
      <x:c r="B6" s="127" t="str">
        <x:v>Названия</x:v>
      </x:c>
      <x:c r="C6" s="127" t="str">
        <x:v>Заголовки только в верхнем регистре и без синонимов: ЗАКАЗАТЬ ЗВОНОК; ЗАДАТЬ ВОПРОС.</x:v>
      </x:c>
      <x:c r="D6" s="127" t="str">
        <x:v>Нет CTA «Оставить заявку», «Бесплатная консультация», «Расчёт стоимости» и аналогов вместо требуемых.</x:v>
      </x:c>
      <x:c r="E6" s="127" t="str">
        <x:v>Заявки на сайт-какие они.docx</x:v>
      </x:c>
      <x:c r="F6" s="127" t="str">
        <x:v>Критично</x:v>
      </x:c>
      <x:c r="G6" s="127" t="str">
        <x:v>Действует</x:v>
      </x:c>
    </x:row>
    <x:row r="7" ht="140.39999389648438" hidden="0" customHeight="1">
      <x:c r="A7" s="127" t="str">
        <x:v>FRM-003</x:v>
      </x:c>
      <x:c r="B7" s="127" t="str">
        <x:v>Callback</x:v>
      </x:c>
      <x:c r="C7" s="127" t="str">
        <x:v>Имя необязательно; телефон обязателен; email и выбор типа лица отсутствуют; простая капча обязательна.</x:v>
      </x:c>
      <x:c r="D7" s="127" t="str">
        <x:v>Поля и required-атрибуты соответствуют; invalid phone/captcha блокируются.</x:v>
      </x:c>
      <x:c r="E7" s="127" t="str">
        <x:v>Поздние указания по NOUSRO/DPOMUC и общая унификация</x:v>
      </x:c>
      <x:c r="F7" s="127" t="str">
        <x:v>Критично</x:v>
      </x:c>
      <x:c r="G7" s="127" t="str">
        <x:v>Действует</x:v>
      </x:c>
    </x:row>
    <x:row r="8" ht="140.39999389648438" hidden="0" customHeight="1">
      <x:c r="A8" s="127" t="str">
        <x:v>FRM-004</x:v>
      </x:c>
      <x:c r="B8" s="127" t="str">
        <x:v>Question</x:v>
      </x:c>
      <x:c r="C8" s="127" t="str">
        <x:v>Имя необязательно; телефон обязателен; вопрос необязателен; email отсутствует; простая капча обязательна.</x:v>
      </x:c>
      <x:c r="D8" s="127" t="str">
        <x:v>Форма отправляется без email, но не без телефона/капчи.</x:v>
      </x:c>
      <x:c r="E8" s="127" t="str">
        <x:v>Поздняя переписка 22–30.07</x:v>
      </x:c>
      <x:c r="F8" s="127" t="str">
        <x:v>Критично</x:v>
      </x:c>
      <x:c r="G8" s="127" t="str">
        <x:v>Действует; отменяет ранний email</x:v>
      </x:c>
    </x:row>
    <x:row r="9" ht="97.19999694824219" hidden="0" customHeight="1">
      <x:c r="A9" s="127" t="str">
        <x:v>FRM-005</x:v>
      </x:c>
      <x:c r="B9" s="127" t="str">
        <x:v>Телефон</x:v>
      </x:c>
      <x:c r="C9" s="127" t="str">
        <x:v>Принимать обычные пользовательские форматы без непонятной строгой маски.</x:v>
      </x:c>
      <x:c r="D9" s="127" t="str">
        <x:v>Номера +7, 8, со скобками/пробелами проходят разумную нормализацию.</x:v>
      </x:c>
      <x:c r="E9" s="127" t="str">
        <x:v>APREAL-NN: Gmail 19f88ec9dbdfcdf0 и последующие</x:v>
      </x:c>
      <x:c r="F9" s="127" t="str">
        <x:v>Высоко</x:v>
      </x:c>
      <x:c r="G9" s="127" t="str">
        <x:v>Действует</x:v>
      </x:c>
    </x:row>
    <x:row r="10" ht="108" hidden="0" customHeight="1">
      <x:c r="A10" s="127" t="str">
        <x:v>FRM-006</x:v>
      </x:c>
      <x:c r="B10" s="127" t="str">
        <x:v>Капча</x:v>
      </x:c>
      <x:c r="C10" s="127" t="str">
        <x:v>Простая капча на обеих формах; не перекрывает поля; реально блокирует неверный ответ.</x:v>
      </x:c>
      <x:c r="D10" s="127" t="str">
        <x:v>Неверная капча не вызывает mail и не показывает успех.</x:v>
      </x:c>
      <x:c r="E10" s="127" t="str">
        <x:v>Gmail 19f76757e8d2018e; APREAL.SPB замечания</x:v>
      </x:c>
      <x:c r="F10" s="127" t="str">
        <x:v>Критично</x:v>
      </x:c>
      <x:c r="G10" s="127" t="str">
        <x:v>Действует</x:v>
      </x:c>
    </x:row>
    <x:row r="11" ht="162" hidden="0" customHeight="1">
      <x:c r="A11" s="127" t="str">
        <x:v>FRM-007</x:v>
      </x:c>
      <x:c r="B11" s="127" t="str">
        <x:v>Согласие</x:v>
      </x:c>
      <x:c r="C11" s="127" t="str">
        <x:v>Точный текст: Нажимая на кнопку "Отправить" я даю согласие на обработку персональных данных на условиях Политики обработки персональных данных.</x:v>
      </x:c>
      <x:c r="D11" s="127" t="str">
        <x:v>Текст совпадает посимвольно по смысловой части; ссылка политики активна.</x:v>
      </x:c>
      <x:c r="E11" s="127" t="str">
        <x:v>Заявки на сайт-какие они.docx</x:v>
      </x:c>
      <x:c r="F11" s="127" t="str">
        <x:v>Критично</x:v>
      </x:c>
      <x:c r="G11" s="127" t="str">
        <x:v>Действует</x:v>
      </x:c>
    </x:row>
    <x:row r="12" ht="86.4000015258789" hidden="0" customHeight="1">
      <x:c r="A12" s="127" t="str">
        <x:v>FRM-008</x:v>
      </x:c>
      <x:c r="B12" s="127" t="str">
        <x:v>Политика</x:v>
      </x:c>
      <x:c r="C12" s="127" t="str">
        <x:v>Ссылка «Политики обработки» ведёт на https://www.apreal.ru/konfedencialnost.html.</x:v>
      </x:c>
      <x:c r="D12" s="127" t="str">
        <x:v>HTTP-переход работает в новой вкладке или штатном режиме сайта.</x:v>
      </x:c>
      <x:c r="E12" s="127" t="str">
        <x:v>Gmail 19f76757e8d2018e</x:v>
      </x:c>
      <x:c r="F12" s="127" t="str">
        <x:v>Высоко</x:v>
      </x:c>
      <x:c r="G12" s="127" t="str">
        <x:v>Действует</x:v>
      </x:c>
    </x:row>
    <x:row r="13" ht="86.4000015258789" hidden="0" customHeight="1">
      <x:c r="A13" s="127" t="str">
        <x:v>FRM-009</x:v>
      </x:c>
      <x:c r="B13" s="127" t="str">
        <x:v>Галочка</x:v>
      </x:c>
      <x:c r="C13" s="127" t="str">
        <x:v>Заранее установленную галочку согласия убрать; отдельная галочка не требуется.</x:v>
      </x:c>
      <x:c r="D13" s="127" t="str">
        <x:v>В форме нет prechecked checkbox, препятствующего или имитирующего согласие.</x:v>
      </x:c>
      <x:c r="E13" s="127" t="str">
        <x:v>Повторные замечания клиента по NOUSRO-SPB и портфелю</x:v>
      </x:c>
      <x:c r="F13" s="127" t="str">
        <x:v>Высоко</x:v>
      </x:c>
      <x:c r="G13" s="127" t="str">
        <x:v>Действует</x:v>
      </x:c>
    </x:row>
    <x:row r="14" ht="86.4000015258789" hidden="0" customHeight="1">
      <x:c r="A14" s="127" t="str">
        <x:v>FRM-010</x:v>
      </x:c>
      <x:c r="B14" s="127" t="str">
        <x:v>Успех</x:v>
      </x:c>
      <x:c r="C14" s="127" t="str">
        <x:v>Точный текст: Спасибо за Ваше сообщение. Оно успешно отправлено.</x:v>
      </x:c>
      <x:c r="D14" s="127" t="str">
        <x:v>Текст появляется только после реальной успешной передачи письма.</x:v>
      </x:c>
      <x:c r="E14" s="127" t="str">
        <x:v>Gmail 19f76757e8d2018e</x:v>
      </x:c>
      <x:c r="F14" s="127" t="str">
        <x:v>Критично</x:v>
      </x:c>
      <x:c r="G14" s="127" t="str">
        <x:v>Действует</x:v>
      </x:c>
    </x:row>
    <x:row r="15" ht="129.60000610351562" hidden="0" customHeight="1">
      <x:c r="A15" s="127" t="str">
        <x:v>FRM-011</x:v>
      </x:c>
      <x:c r="B15" s="127" t="str">
        <x:v>UX результата</x:v>
      </x:c>
      <x:c r="C15" s="127" t="str">
        <x:v>Не открывать пустую страницу/404, не зависать, не молча очищать поля; результат скрыт до отправки.</x:v>
      </x:c>
      <x:c r="D15" s="127" t="str">
        <x:v>Пользователь остаётся в контексте страницы и получает однозначный результат.</x:v>
      </x:c>
      <x:c r="E15" s="127" t="str">
        <x:v>FSTE, LFSB, DPOMUC, NOUSRO-SPB замечания</x:v>
      </x:c>
      <x:c r="F15" s="127" t="str">
        <x:v>Критично</x:v>
      </x:c>
      <x:c r="G15" s="127" t="str">
        <x:v>Действует</x:v>
      </x:c>
    </x:row>
    <x:row r="16" ht="86.4000015258789" hidden="0" customHeight="1">
      <x:c r="A16" s="127" t="str">
        <x:v>FRM-012</x:v>
      </x:c>
      <x:c r="B16" s="127" t="str">
        <x:v>Закрытие</x:v>
      </x:c>
      <x:c r="C16" s="127" t="str">
        <x:v>Хорошо видимый крестик справа сверху закрывает модальное окно.</x:v>
      </x:c>
      <x:c r="D16" s="127" t="str">
        <x:v>Крестик видим, доступен и работает на desktop/mobile.</x:v>
      </x:c>
      <x:c r="E16" s="127" t="str">
        <x:v>Gmail 19f76757e8d2018e; NOUSRO-SPB замечания</x:v>
      </x:c>
      <x:c r="F16" s="127" t="str">
        <x:v>Высоко</x:v>
      </x:c>
      <x:c r="G16" s="127" t="str">
        <x:v>Действует</x:v>
      </x:c>
    </x:row>
    <x:row r="17" ht="129.60000610351562" hidden="0" customHeight="1">
      <x:c r="A17" s="127" t="str">
        <x:v>FRM-013</x:v>
      </x:c>
      <x:c r="B17" s="127" t="str">
        <x:v>Доставка</x:v>
      </x:c>
      <x:c r="C17" s="127" t="str">
        <x:v>Обе валидные заявки реально приходят в ожидаемый ящик сайта или действующий маршрут переадресации.</x:v>
      </x:c>
      <x:c r="D17" s="127" t="str">
        <x:v>Найдены два письма с тестовыми маркерами; сохранены message ID и время.</x:v>
      </x:c>
      <x:c r="E17" s="127" t="str">
        <x:v>Исходная таблица проблем и вся последующая переписка</x:v>
      </x:c>
      <x:c r="F17" s="127" t="str">
        <x:v>Критично</x:v>
      </x:c>
      <x:c r="G17" s="127" t="str">
        <x:v>Действует</x:v>
      </x:c>
    </x:row>
    <x:row r="18" ht="140.39999389648438" hidden="0" customHeight="1">
      <x:c r="A18" s="127" t="str">
        <x:v>FRM-014</x:v>
      </x:c>
      <x:c r="B18" s="127" t="str">
        <x:v>Отправитель</x:v>
      </x:c>
      <x:c r="C18" s="127" t="str">
        <x:v>Письмо отправляется с доменной идентичностью и корректным Reply-To, а не выглядит как техническое письмо Beget.</x:v>
      </x:c>
      <x:c r="D18" s="127" t="str">
        <x:v>Проверены From, Reply-To, тема и тело обоих писем.</x:v>
      </x:c>
      <x:c r="E18" s="127" t="str">
        <x:v>SHOPAP замечания 22–24.07</x:v>
      </x:c>
      <x:c r="F18" s="127" t="str">
        <x:v>Критично</x:v>
      </x:c>
      <x:c r="G18" s="127" t="str">
        <x:v>Действует</x:v>
      </x:c>
    </x:row>
    <x:row r="19" ht="140.39999389648438" hidden="0" customHeight="1">
      <x:c r="A19" s="127" t="str">
        <x:v>FRM-015</x:v>
      </x:c>
      <x:c r="B19" s="127" t="str">
        <x:v>Mobile</x:v>
      </x:c>
      <x:c r="C19" s="127" t="str">
        <x:v>Плавающая/мобильная кнопка «Перезвонить» использует тот же рабочий сценарий; чат и меню не перекрывают форму.</x:v>
      </x:c>
      <x:c r="D19" s="127" t="str">
        <x:v>Обычный touch/click открывает форму, поля и кнопки доступны.</x:v>
      </x:c>
      <x:c r="E19" s="127" t="str">
        <x:v>APREAL, MEDLIC, OTXODI замечания</x:v>
      </x:c>
      <x:c r="F19" s="127" t="str">
        <x:v>Критично</x:v>
      </x:c>
      <x:c r="G19" s="127" t="str">
        <x:v>Действует</x:v>
      </x:c>
    </x:row>
    <x:row r="20" ht="118.80000305175781" hidden="0" customHeight="1">
      <x:c r="A20" s="127" t="str">
        <x:v>FRM-016</x:v>
      </x:c>
      <x:c r="B20" s="127" t="str">
        <x:v>Семейство</x:v>
      </x:c>
      <x:c r="C20" s="127" t="str">
        <x:v>Общая правка закрывается только после проверки всех доменов того же шаблона/обработчика.</x:v>
      </x:c>
      <x:c r="D20" s="127" t="str">
        <x:v>Матрица семейства не содержит непроверенных sibling-доменов.</x:v>
      </x:c>
      <x:c r="E20" s="127" t="str">
        <x:v>Обобщённое требование из повторяющихся замечаний</x:v>
      </x:c>
      <x:c r="F20" s="127" t="str">
        <x:v>Критично</x:v>
      </x:c>
      <x:c r="G20" s="127" t="str">
        <x:v>Действует</x:v>
      </x:c>
    </x:row>
    <x:row r="21" ht="108" hidden="0" customHeight="1">
      <x:c r="A21" s="127" t="str">
        <x:v>FRM-017</x:v>
      </x:c>
      <x:c r="B21" s="127" t="str">
        <x:v>Публикация</x:v>
      </x:c>
      <x:c r="C21" s="127" t="str">
        <x:v>После deploy прочитать удалённые файлы обратно и зафиксировать версию/хеш.</x:v>
      </x:c>
      <x:c r="D21" s="127" t="str">
        <x:v>Есть deploy evidence, remote readback и соответствие тестируемой версии.</x:v>
      </x:c>
      <x:c r="E21" s="127" t="str">
        <x:v>Локальный workflow и анализ deploy JSON</x:v>
      </x:c>
      <x:c r="F21" s="127" t="str">
        <x:v>Критично</x:v>
      </x:c>
      <x:c r="G21" s="127" t="str">
        <x:v>Действует</x:v>
      </x:c>
    </x:row>
    <x:row r="22" ht="108" hidden="0" customHeight="1">
      <x:c r="A22" s="127" t="str">
        <x:v>FRM-018</x:v>
      </x:c>
      <x:c r="B22" s="127" t="str">
        <x:v>Визуальный QA</x:v>
      </x:c>
      <x:c r="C22" s="127" t="str">
        <x:v>Каждую frontend-правку зрительно сравнить с утверждённым эталоном на desktop и mobile.</x:v>
      </x:c>
      <x:c r="D22" s="127" t="str">
        <x:v>Сохранены скриншоты до/после; проверены размеры, отступы, поля, капча, крестик, чат.</x:v>
      </x:c>
      <x:c r="E22" s="127" t="str">
        <x:v>Прямое указание владельца проекта</x:v>
      </x:c>
      <x:c r="F22" s="127" t="str">
        <x:v>Критично</x:v>
      </x:c>
      <x:c r="G22" s="127" t="str">
        <x:v>Действует</x:v>
      </x:c>
    </x:row>
    <x:row r="23" ht="108" hidden="0" customHeight="1">
      <x:c r="A23" s="127" t="str">
        <x:v>FRM-019</x:v>
      </x:c>
      <x:c r="B23" s="127" t="str">
        <x:v>Чистый URL</x:v>
      </x:c>
      <x:c r="C23" s="127" t="str">
        <x:v>Приёмка выполняется на canonical URL без тестового query-параметра и без игнорирования TLS.</x:v>
      </x:c>
      <x:c r="D23" s="127" t="str">
        <x:v>Чистый URL, очищенный cache, валидный TLS; нет зависимости от ?full_acceptance=...</x:v>
      </x:c>
      <x:c r="E23" s="127" t="str">
        <x:v>Анализ QA 31.07</x:v>
      </x:c>
      <x:c r="F23" s="127" t="str">
        <x:v>Высоко</x:v>
      </x:c>
      <x:c r="G23" s="127" t="str">
        <x:v>Добавлено по аудиту</x:v>
      </x:c>
    </x:row>
    <x:row r="24" ht="97.19999694824219" hidden="0" customHeight="1">
      <x:c r="A24" s="128" t="str">
        <x:v>FRM-020</x:v>
      </x:c>
      <x:c r="B24" s="128" t="str">
        <x:v>Коммуникация</x:v>
      </x:c>
      <x:c r="C24" s="128" t="str">
        <x:v>До отдельного разрешения владельца клиенту ничего не отправлять.</x:v>
      </x:c>
      <x:c r="D24" s="128" t="str">
        <x:v>Отчёт сначала проходит внутреннее сравнение с ТЗ и подтверждение владельца.</x:v>
      </x:c>
      <x:c r="E24" s="128" t="str">
        <x:v>Прямое указание владельца проекта</x:v>
      </x:c>
      <x:c r="F24" s="128" t="str">
        <x:v>Критично</x:v>
      </x:c>
      <x:c r="G24" s="128" t="str">
        <x:v>Действует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8099a0422845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13" hidden="0" customWidth="1"/>
    <x:col min="4" max="4" width="15" hidden="0" customWidth="1"/>
    <x:col min="5" max="5" width="40" hidden="0" customWidth="1"/>
    <x:col min="6" max="6" width="32" hidden="0" customWidth="1"/>
    <x:col min="7" max="7" width="29" hidden="0" customWidth="1"/>
    <x:col min="8" max="8" width="24" hidden="0" customWidth="1"/>
    <x:col min="9" max="9" width="34" hidden="0" customWidth="1"/>
    <x:col min="10" max="10" width="32" hidden="0" customWidth="1"/>
    <x:col min="11" max="11" width="26" hidden="0" customWidth="1"/>
    <x:col min="12" max="12" width="16" hidden="0" customWidth="1"/>
    <x:col min="13" max="13" width="44" hidden="0" customWidth="1"/>
    <x:col min="14" max="14" width="36" hidden="0" customWidth="1"/>
  </x:cols>
  <x:sheetData>
    <x:row r="1" ht="30" customHeight="1">
      <x:c r="A1" s="112" t="str">
        <x:v>Матрица 35 доменов: формы</x:v>
      </x:c>
    </x:row>
    <x:row r="2" ht="34" customHeight="1">
      <x:c r="A2" s="114" t="str">
        <x:v>Статус «ГОТОВО» разрешён только при доказанной текущей доставке обеих форм. Номера 13 и 14 отсутствуют в исходном документе клиента.</x:v>
      </x:c>
    </x:row>
    <x:row r="4" ht="38" customHeight="1">
      <x:c r="A4" s="123" t="str">
        <x:v>№</x:v>
      </x:c>
      <x:c r="B4" s="124" t="str">
        <x:v>Домен</x:v>
      </x:c>
      <x:c r="C4" s="124" t="str">
        <x:v>Scope</x:v>
      </x:c>
      <x:c r="D4" s="124" t="str">
        <x:v>Семейство</x:v>
      </x:c>
      <x:c r="E4" s="124" t="str">
        <x:v>Исходная проблема</x:v>
      </x:c>
      <x:c r="F4" s="124" t="str">
        <x:v>Старая приёмка</x:v>
      </x:c>
      <x:c r="G4" s="124" t="str">
        <x:v>Свежий UI QA</x:v>
      </x:c>
      <x:c r="H4" s="124" t="str">
        <x:v>Invalid QA</x:v>
      </x:c>
      <x:c r="I4" s="124" t="str">
        <x:v>Valid delivery</x:v>
      </x:c>
      <x:c r="J4" s="124" t="str">
        <x:v>Ошибки страницы/DNS</x:v>
      </x:c>
      <x:c r="K4" s="124" t="str">
        <x:v>Доказательство</x:v>
      </x:c>
      <x:c r="L4" s="124" t="str">
        <x:v>Статус</x:v>
      </x:c>
      <x:c r="M4" s="124" t="str">
        <x:v>Реально осталось</x:v>
      </x:c>
      <x:c r="N4" s="125" t="str">
        <x:v>Gmail/источники</x:v>
      </x:c>
    </x:row>
    <x:row r="5" ht="86.4000015258789" hidden="0" customHeight="1">
      <x:c r="A5" s="126" t="n">
        <x:v>1</x:v>
      </x:c>
      <x:c r="B5" s="126" t="str">
        <x:v>apreal.ru</x:v>
      </x:c>
      <x:c r="C5" s="126" t="str">
        <x:v>Включён</x:v>
      </x:c>
      <x:c r="D5" s="126" t="str">
        <x:v>CF7</x:v>
      </x:c>
      <x:c r="E5" s="126" t="str">
        <x:v>Mobile «Перезвонить» вёл на 404; позже поля, названия, капча и layout</x:v>
      </x:c>
      <x:c r="F5" s="126" t="str">
        <x:v>Старое «Всё ОК» 24.07; позже общий портфель снова открыт</x:v>
      </x:c>
      <x:c r="G5" s="126" t="str">
        <x:v>31.07 desktop/mobile: формы видны</x:v>
      </x:c>
      <x:c r="H5" s="126" t="str">
        <x:v>Свежего CF7 server-side invalid-теста нет</x:v>
      </x:c>
      <x:c r="I5" s="126" t="str">
        <x:v>Свежая пара писем не доказана</x:v>
      </x:c>
      <x:c r="J5" s="126" t="str">
        <x:v>objectManager ×2; console 404×3</x:v>
      </x:c>
      <x:c r="K5" s="126" t="str">
        <x:v>QA 31.07; Gmail 19f929459b39be8a</x:v>
      </x:c>
      <x:c r="L5" s="126" t="str">
        <x:v>ЧАСТИЧНО</x:v>
      </x:c>
      <x:c r="M5" s="126" t="str">
        <x:v>Две валидные доставки; CF7 invalid/valid; чистый URL; устранить page error</x:v>
      </x:c>
      <x:c r="N5" s="126" t="str">
        <x:v>19f76757e8d2018e; 19f83eda6be441dc; 19f929459b39be8a</x:v>
      </x:c>
    </x:row>
    <x:row r="6" ht="86.4000015258789" hidden="0" customHeight="1">
      <x:c r="A6" s="127" t="n">
        <x:v>2</x:v>
      </x:c>
      <x:c r="B6" s="127" t="str">
        <x:v>docp.ru</x:v>
      </x:c>
      <x:c r="C6" s="127" t="str">
        <x:v>Включён</x:v>
      </x:c>
      <x:c r="D6" s="127" t="str">
        <x:v>Стандартный</x:v>
      </x:c>
      <x:c r="E6" s="127" t="str">
        <x:v>Опечатка «Врем звонка»</x:v>
      </x:c>
      <x:c r="F6" s="127" t="str">
        <x:v>Клиент: «Все ОК», Gmail 19f949ab9987ba33</x:v>
      </x:c>
      <x:c r="G6" s="127" t="str">
        <x:v>31.07 desktop/mobile: формы видны</x:v>
      </x:c>
      <x:c r="H6" s="127" t="str">
        <x:v>Invalid блокируется</x:v>
      </x:c>
      <x:c r="I6" s="127" t="str">
        <x:v>Старые callback/question; после deploy не повторены</x:v>
      </x:c>
      <x:c r="J6" s="127" t="str">
        <x:v>myPlacemarkWithContent ×2</x:v>
      </x:c>
      <x:c r="K6" s="127" t="str">
        <x:v>QA 31.07; старые mail-evidence</x:v>
      </x:c>
      <x:c r="L6" s="127" t="str">
        <x:v>ЧАСТИЧНО</x:v>
      </x:c>
      <x:c r="M6" s="127" t="str">
        <x:v>Повторить обе доставки после общей публикации; устранить page error</x:v>
      </x:c>
      <x:c r="N6" s="127" t="str">
        <x:v>19f76757e8d2018e; 19f9364d5055062a</x:v>
      </x:c>
    </x:row>
    <x:row r="7" ht="64.80000305175781" hidden="0" customHeight="1">
      <x:c r="A7" s="127" t="n">
        <x:v>3</x:v>
      </x:c>
      <x:c r="B7" s="127" t="str">
        <x:v>mca24.ru</x:v>
      </x:c>
      <x:c r="C7" s="127" t="str">
        <x:v>Включён</x:v>
      </x:c>
      <x:c r="D7" s="127" t="str">
        <x:v>mail.php</x:v>
      </x:c>
      <x:c r="E7" s="127" t="str">
        <x:v>Форма не работала; позже неверные поля вопроса</x:v>
      </x:c>
      <x:c r="F7" s="127" t="str">
        <x:v>Явной финальной приёмки нет</x:v>
      </x:c>
      <x:c r="G7" s="127" t="str">
        <x:v>31.07 desktop/mobile: формы видны</x:v>
      </x:c>
      <x:c r="H7" s="127" t="str">
        <x:v>Invalid captcha блокируется</x:v>
      </x:c>
      <x:c r="I7" s="127" t="str">
        <x:v>После deploy valid не отправлялся</x:v>
      </x:c>
      <x:c r="J7" s="127" t="str">
        <x:v>Нет pageErrors</x:v>
      </x:c>
      <x:c r="K7" s="127" t="str">
        <x:v>Custom invalid JSON</x:v>
      </x:c>
      <x:c r="L7" s="127" t="str">
        <x:v>ЧАСТИЧНО</x:v>
      </x:c>
      <x:c r="M7" s="127" t="str">
        <x:v>Две валидные доставки и проверка письма</x:v>
      </x:c>
      <x:c r="N7" s="127" t="str">
        <x:v>19f76757e8d2018e; 19f7a48fddfacc95</x:v>
      </x:c>
    </x:row>
    <x:row r="8" ht="54" hidden="0" customHeight="1">
      <x:c r="A8" s="127" t="n">
        <x:v>4</x:v>
      </x:c>
      <x:c r="B8" s="127" t="str">
        <x:v>fsa-lab.ru</x:v>
      </x:c>
      <x:c r="C8" s="127" t="str">
        <x:v>Включён</x:v>
      </x:c>
      <x:c r="D8" s="127" t="str">
        <x:v>mail.php</x:v>
      </x:c>
      <x:c r="E8" s="127" t="str">
        <x:v>Изначально «ОК», затем портфельная унификация</x:v>
      </x:c>
      <x:c r="F8" s="127" t="str">
        <x:v>Явной финальной приёмки нет</x:v>
      </x:c>
      <x:c r="G8" s="127" t="str">
        <x:v>31.07 desktop/mobile: формы видны</x:v>
      </x:c>
      <x:c r="H8" s="127" t="str">
        <x:v>Invalid captcha блокируется</x:v>
      </x:c>
      <x:c r="I8" s="127" t="str">
        <x:v>После deploy valid не отправлялся</x:v>
      </x:c>
      <x:c r="J8" s="127" t="str">
        <x:v>M_Modal null ×2</x:v>
      </x:c>
      <x:c r="K8" s="127" t="str">
        <x:v>Custom invalid JSON</x:v>
      </x:c>
      <x:c r="L8" s="127" t="str">
        <x:v>ЧАСТИЧНО</x:v>
      </x:c>
      <x:c r="M8" s="127" t="str">
        <x:v>Две валидные доставки; устранить page error</x:v>
      </x:c>
      <x:c r="N8" s="127" t="str">
        <x:v>19f76757e8d2018e</x:v>
      </x:c>
    </x:row>
    <x:row r="9" ht="64.80000305175781" hidden="0" customHeight="1">
      <x:c r="A9" s="127" t="n">
        <x:v>5</x:v>
      </x:c>
      <x:c r="B9" s="127" t="str">
        <x:v>elecktro.ru</x:v>
      </x:c>
      <x:c r="C9" s="127" t="str">
        <x:v>Включён</x:v>
      </x:c>
      <x:c r="D9" s="127" t="str">
        <x:v>Стандартный</x:v>
      </x:c>
      <x:c r="E9" s="127" t="str">
        <x:v>Изначально «ОК», затем обязательная унификация CTA/полей</x:v>
      </x:c>
      <x:c r="F9" s="127" t="str">
        <x:v>Явной финальной приёмки нет</x:v>
      </x:c>
      <x:c r="G9" s="127" t="str">
        <x:v>31.07 desktop/mobile: формы видны</x:v>
      </x:c>
      <x:c r="H9" s="127" t="str">
        <x:v>Invalid блокируется</x:v>
      </x:c>
      <x:c r="I9" s="127" t="str">
        <x:v>После deploy valid не отправлялся</x:v>
      </x:c>
      <x:c r="J9" s="127" t="str">
        <x:v>Нет pageErrors</x:v>
      </x:c>
      <x:c r="K9" s="127" t="str">
        <x:v>Standard invalid JSON</x:v>
      </x:c>
      <x:c r="L9" s="127" t="str">
        <x:v>ЧАСТИЧНО</x:v>
      </x:c>
      <x:c r="M9" s="127" t="str">
        <x:v>Две свежие валидные доставки</x:v>
      </x:c>
      <x:c r="N9" s="127" t="str">
        <x:v>19f76757e8d2018e; 19f7b96a68de655a</x:v>
      </x:c>
    </x:row>
    <x:row r="10" ht="64.80000305175781" hidden="0" customHeight="1">
      <x:c r="A10" s="127" t="n">
        <x:v>6</x:v>
      </x:c>
      <x:c r="B10" s="127" t="str">
        <x:v>rectavr.ru</x:v>
      </x:c>
      <x:c r="C10" s="127" t="str">
        <x:v>Исключён</x:v>
      </x:c>
      <x:c r="D10" s="127" t="str">
        <x:v>Исключение</x:v>
      </x:c>
      <x:c r="E10" s="127" t="str">
        <x:v>Формы не нужны</x:v>
      </x:c>
      <x:c r="F10" s="127" t="str">
        <x:v>Прямое исключение клиента</x:v>
      </x:c>
      <x:c r="G10" s="127" t="str">
        <x:v>31.07 desktop/mobile: сайт 200, стандартных форм нет</x:v>
      </x:c>
      <x:c r="H10" s="127" t="str">
        <x:v>Не применяется</x:v>
      </x:c>
      <x:c r="I10" s="127" t="str">
        <x:v>Не применяется</x:v>
      </x:c>
      <x:c r="J10" s="127" t="str">
        <x:v>Нет pageErrors</x:v>
      </x:c>
      <x:c r="K10" s="127" t="str">
        <x:v>QA 31.07</x:v>
      </x:c>
      <x:c r="L10" s="127" t="str">
        <x:v>ИСКЛЮЧЕНО</x:v>
      </x:c>
      <x:c r="M10" s="127" t="str">
        <x:v>Не добавлять формы при массовых изменениях</x:v>
      </x:c>
      <x:c r="N10" s="127" t="str">
        <x:v>19f76757e8d2018e</x:v>
      </x:c>
    </x:row>
    <x:row r="11" ht="64.80000305175781" hidden="0" customHeight="1">
      <x:c r="A11" s="127" t="n">
        <x:v>7</x:v>
      </x:c>
      <x:c r="B11" s="127" t="str">
        <x:v>med-license.ru</x:v>
      </x:c>
      <x:c r="C11" s="127" t="str">
        <x:v>Включён</x:v>
      </x:c>
      <x:c r="D11" s="127" t="str">
        <x:v>mail.php</x:v>
      </x:c>
      <x:c r="E11" s="127" t="str">
        <x:v>Ложный успех, письма не доходили</x:v>
      </x:c>
      <x:c r="F11" s="127" t="str">
        <x:v>Явной финальной приёмки нет</x:v>
      </x:c>
      <x:c r="G11" s="127" t="str">
        <x:v>31.07 desktop/mobile: формы видны</x:v>
      </x:c>
      <x:c r="H11" s="127" t="str">
        <x:v>Invalid captcha блокируется</x:v>
      </x:c>
      <x:c r="I11" s="127" t="str">
        <x:v>После deploy valid не отправлялся</x:v>
      </x:c>
      <x:c r="J11" s="127" t="str">
        <x:v>Нет pageErrors</x:v>
      </x:c>
      <x:c r="K11" s="127" t="str">
        <x:v>Custom invalid JSON</x:v>
      </x:c>
      <x:c r="L11" s="127" t="str">
        <x:v>ЧАСТИЧНО</x:v>
      </x:c>
      <x:c r="M11" s="127" t="str">
        <x:v>Две валидные доставки; проверить From/Reply-To</x:v>
      </x:c>
      <x:c r="N11" s="127" t="str">
        <x:v>19f76757e8d2018e; 19f84a42fe361003</x:v>
      </x:c>
    </x:row>
    <x:row r="12" ht="54" hidden="0" customHeight="1">
      <x:c r="A12" s="127" t="n">
        <x:v>8</x:v>
      </x:c>
      <x:c r="B12" s="127" t="str">
        <x:v>mhsl.ru</x:v>
      </x:c>
      <x:c r="C12" s="127" t="str">
        <x:v>Включён</x:v>
      </x:c>
      <x:c r="D12" s="127" t="str">
        <x:v>mail.php</x:v>
      </x:c>
      <x:c r="E12" s="127" t="str">
        <x:v>Ложный успех, письма не доходили</x:v>
      </x:c>
      <x:c r="F12" s="127" t="str">
        <x:v>Явной финальной приёмки нет</x:v>
      </x:c>
      <x:c r="G12" s="127" t="str">
        <x:v>31.07 desktop/mobile: формы видны</x:v>
      </x:c>
      <x:c r="H12" s="127" t="str">
        <x:v>Invalid captcha блокируется</x:v>
      </x:c>
      <x:c r="I12" s="127" t="str">
        <x:v>После deploy valid не отправлялся</x:v>
      </x:c>
      <x:c r="J12" s="127" t="str">
        <x:v>Нет pageErrors</x:v>
      </x:c>
      <x:c r="K12" s="127" t="str">
        <x:v>Custom invalid JSON</x:v>
      </x:c>
      <x:c r="L12" s="127" t="str">
        <x:v>ЧАСТИЧНО</x:v>
      </x:c>
      <x:c r="M12" s="127" t="str">
        <x:v>Две свежие валидные доставки</x:v>
      </x:c>
      <x:c r="N12" s="127" t="str">
        <x:v>19f76757e8d2018e; 19f84a7d318026f5</x:v>
      </x:c>
    </x:row>
    <x:row r="13" ht="54" hidden="0" customHeight="1">
      <x:c r="A13" s="127" t="n">
        <x:v>9</x:v>
      </x:c>
      <x:c r="B13" s="127" t="str">
        <x:v>fste.ru</x:v>
      </x:c>
      <x:c r="C13" s="127" t="str">
        <x:v>Включён</x:v>
      </x:c>
      <x:c r="D13" s="127" t="str">
        <x:v>Стандартный</x:v>
      </x:c>
      <x:c r="E13" s="127" t="str">
        <x:v>После отправки уводило на пустую страницу</x:v>
      </x:c>
      <x:c r="F13" s="127" t="str">
        <x:v>Старые HTTP cb/question 20.07</x:v>
      </x:c>
      <x:c r="G13" s="127" t="str">
        <x:v>31.07 desktop/mobile: формы видны</x:v>
      </x:c>
      <x:c r="H13" s="127" t="str">
        <x:v>Invalid блокируется</x:v>
      </x:c>
      <x:c r="I13" s="127" t="str">
        <x:v>Valid доказательство до последней правки</x:v>
      </x:c>
      <x:c r="J13" s="127" t="str">
        <x:v>Нет pageErrors</x:v>
      </x:c>
      <x:c r="K13" s="127" t="str">
        <x:v>QA 31.07; старый HTTP</x:v>
      </x:c>
      <x:c r="L13" s="127" t="str">
        <x:v>ЧАСТИЧНО</x:v>
      </x:c>
      <x:c r="M13" s="127" t="str">
        <x:v>Повторить доставку обеих форм</x:v>
      </x:c>
      <x:c r="N13" s="127" t="str">
        <x:v>19f76757e8d2018e; 19f84b7b5fc9daf0</x:v>
      </x:c>
    </x:row>
    <x:row r="14" ht="64.80000305175781" hidden="0" customHeight="1">
      <x:c r="A14" s="127" t="n">
        <x:v>10</x:v>
      </x:c>
      <x:c r="B14" s="127" t="str">
        <x:v>otxodi.ru</x:v>
      </x:c>
      <x:c r="C14" s="127" t="str">
        <x:v>Включён</x:v>
      </x:c>
      <x:c r="D14" s="127" t="str">
        <x:v>Стандартный</x:v>
      </x:c>
      <x:c r="E14" s="127" t="str">
        <x:v>Позже CTA, форма, обычный click и пересечение с чатом</x:v>
      </x:c>
      <x:c r="F14" s="127" t="str">
        <x:v>Клиент: «Все ОК», Gmail 19f946df58027438</x:v>
      </x:c>
      <x:c r="G14" s="127" t="str">
        <x:v>31.07 desktop/mobile: формы видны</x:v>
      </x:c>
      <x:c r="H14" s="127" t="str">
        <x:v>Invalid блокируется</x:v>
      </x:c>
      <x:c r="I14" s="127" t="str">
        <x:v>HTTP cb/question 24.07; получение не доказано</x:v>
      </x:c>
      <x:c r="J14" s="127" t="str">
        <x:v>Нет pageErrors</x:v>
      </x:c>
      <x:c r="K14" s="127" t="str">
        <x:v>QA 31.07; старый HTTP</x:v>
      </x:c>
      <x:c r="L14" s="127" t="str">
        <x:v>ЧАСТИЧНО</x:v>
      </x:c>
      <x:c r="M14" s="127" t="str">
        <x:v>Подтвердить получение обеих текущих заявок</x:v>
      </x:c>
      <x:c r="N14" s="127" t="str">
        <x:v>19f85f87b29fb5f5; 19f935839b9d04c9</x:v>
      </x:c>
    </x:row>
    <x:row r="15" ht="54" hidden="0" customHeight="1">
      <x:c r="A15" s="127" t="n">
        <x:v>11</x:v>
      </x:c>
      <x:c r="B15" s="127" t="str">
        <x:v>lfsb.ru</x:v>
      </x:c>
      <x:c r="C15" s="127" t="str">
        <x:v>Включён</x:v>
      </x:c>
      <x:c r="D15" s="127" t="str">
        <x:v>Стандартный</x:v>
      </x:c>
      <x:c r="E15" s="127" t="str">
        <x:v>После отправки уводило на пустую страницу</x:v>
      </x:c>
      <x:c r="F15" s="127" t="str">
        <x:v>Клиент: «Все ОК», Gmail 19f93f6222b8b5fc</x:v>
      </x:c>
      <x:c r="G15" s="127" t="str">
        <x:v>31.07 desktop/mobile: формы видны</x:v>
      </x:c>
      <x:c r="H15" s="127" t="str">
        <x:v>Invalid блокируется</x:v>
      </x:c>
      <x:c r="I15" s="127" t="str">
        <x:v>HTTP cb/question 24.07; получение не доказано</x:v>
      </x:c>
      <x:c r="J15" s="127" t="str">
        <x:v>Console 404×2</x:v>
      </x:c>
      <x:c r="K15" s="127" t="str">
        <x:v>QA 31.07; старый HTTP</x:v>
      </x:c>
      <x:c r="L15" s="127" t="str">
        <x:v>ЧАСТИЧНО</x:v>
      </x:c>
      <x:c r="M15" s="127" t="str">
        <x:v>Подтвердить обе доставки; разобрать 404</x:v>
      </x:c>
      <x:c r="N15" s="127" t="str">
        <x:v>19f85fde5bf0b12f; 19f935839b9d04c9</x:v>
      </x:c>
    </x:row>
    <x:row r="16" ht="75.5999984741211" hidden="0" customHeight="1">
      <x:c r="A16" s="127" t="n">
        <x:v>12</x:v>
      </x:c>
      <x:c r="B16" s="127" t="str">
        <x:v>apreal.spb.ru</x:v>
      </x:c>
      <x:c r="C16" s="127" t="str">
        <x:v>Включён</x:v>
      </x:c>
      <x:c r="D16" s="127" t="str">
        <x:v>Стандартный</x:v>
      </x:c>
      <x:c r="E16" s="127" t="str">
        <x:v>Капча перекрывала текст; позже доставка и callback layout</x:v>
      </x:c>
      <x:c r="F16" s="127" t="str">
        <x:v>Клиент: «Все ОК» 24.07</x:v>
      </x:c>
      <x:c r="G16" s="127" t="str">
        <x:v>31.07 desktop/mobile: формы видны</x:v>
      </x:c>
      <x:c r="H16" s="127" t="str">
        <x:v>Invalid блокируется</x:v>
      </x:c>
      <x:c r="I16" s="127" t="str">
        <x:v>Старые E2E/HTTP; question не после финального callback</x:v>
      </x:c>
      <x:c r="J16" s="127" t="str">
        <x:v>Нет pageErrors</x:v>
      </x:c>
      <x:c r="K16" s="127" t="str">
        <x:v>QA 31.07; client acceptance</x:v>
      </x:c>
      <x:c r="L16" s="127" t="str">
        <x:v>ЧАСТИЧНО</x:v>
      </x:c>
      <x:c r="M16" s="127" t="str">
        <x:v>Свежая пара валидных доставок</x:v>
      </x:c>
      <x:c r="N16" s="127" t="str">
        <x:v>19f88c0521ec6e9b; 19f90007765f9ed6; 19f929459b39be8a</x:v>
      </x:c>
    </x:row>
    <x:row r="17" ht="54" hidden="0" customHeight="1">
      <x:c r="A17" s="127" t="n">
        <x:v>15</x:v>
      </x:c>
      <x:c r="B17" s="127" t="str">
        <x:v>minkult78.ru</x:v>
      </x:c>
      <x:c r="C17" s="127" t="str">
        <x:v>Включён</x:v>
      </x:c>
      <x:c r="D17" s="127" t="str">
        <x:v>Стандартный</x:v>
      </x:c>
      <x:c r="E17" s="127" t="str">
        <x:v>Изначально «ОК», затем портфельная унификация</x:v>
      </x:c>
      <x:c r="F17" s="127" t="str">
        <x:v>Явной финальной приёмки нет</x:v>
      </x:c>
      <x:c r="G17" s="127" t="str">
        <x:v>31.07 desktop/mobile: формы видны</x:v>
      </x:c>
      <x:c r="H17" s="127" t="str">
        <x:v>Invalid блокируется</x:v>
      </x:c>
      <x:c r="I17" s="127" t="str">
        <x:v>После deploy valid не отправлялся</x:v>
      </x:c>
      <x:c r="J17" s="127" t="str">
        <x:v>Console 404×26</x:v>
      </x:c>
      <x:c r="K17" s="127" t="str">
        <x:v>Standard invalid JSON</x:v>
      </x:c>
      <x:c r="L17" s="127" t="str">
        <x:v>ЧАСТИЧНО</x:v>
      </x:c>
      <x:c r="M17" s="127" t="str">
        <x:v>Две валидные доставки; разобрать 404</x:v>
      </x:c>
      <x:c r="N17" s="127" t="str">
        <x:v>19f76757e8d2018e</x:v>
      </x:c>
    </x:row>
    <x:row r="18" ht="75.5999984741211" hidden="0" customHeight="1">
      <x:c r="A18" s="127" t="n">
        <x:v>16</x:v>
      </x:c>
      <x:c r="B18" s="127" t="str">
        <x:v>medlic.spb.ru</x:v>
      </x:c>
      <x:c r="C18" s="127" t="str">
        <x:v>Включён</x:v>
      </x:c>
      <x:c r="D18" s="127" t="str">
        <x:v>Стандартный</x:v>
      </x:c>
      <x:c r="E18" s="127" t="str">
        <x:v>Форм не было; позже поля, chat overlap, mailbox/forwarding</x:v>
      </x:c>
      <x:c r="F18" s="127" t="str">
        <x:v>Нет явной приёмки форм после 29.07</x:v>
      </x:c>
      <x:c r="G18" s="127" t="str">
        <x:v>31.07 desktop/mobile: формы видны</x:v>
      </x:c>
      <x:c r="H18" s="127" t="str">
        <x:v>Invalid блокируется</x:v>
      </x:c>
      <x:c r="I18" s="127" t="str">
        <x:v>HTTP 29.07 до финальной route-записи</x:v>
      </x:c>
      <x:c r="J18" s="127" t="str">
        <x:v>bootComponents ×2</x:v>
      </x:c>
      <x:c r="K18" s="127" t="str">
        <x:v>QA 31.07; route record 29.07</x:v>
      </x:c>
      <x:c r="L18" s="127" t="str">
        <x:v>ЧАСТИЧНО</x:v>
      </x:c>
      <x:c r="M18" s="127" t="str">
        <x:v>Две доставки после финального маршрута; устранить page error</x:v>
      </x:c>
      <x:c r="N18" s="127" t="str">
        <x:v>19f9a005ec1821e7; 19fadcf91905b5e6</x:v>
      </x:c>
    </x:row>
    <x:row r="19" ht="64.80000305175781" hidden="0" customHeight="1">
      <x:c r="A19" s="127" t="n">
        <x:v>17</x:v>
      </x:c>
      <x:c r="B19" s="127" t="str">
        <x:v>medtex78.ru</x:v>
      </x:c>
      <x:c r="C19" s="127" t="str">
        <x:v>Включён</x:v>
      </x:c>
      <x:c r="D19" s="127" t="str">
        <x:v>Стандартный</x:v>
      </x:c>
      <x:c r="E19" s="127" t="str">
        <x:v>Неверные CTA, ложный успех, письма не доходили</x:v>
      </x:c>
      <x:c r="F19" s="127" t="str">
        <x:v>Явной финальной приёмки нет</x:v>
      </x:c>
      <x:c r="G19" s="127" t="str">
        <x:v>31.07 desktop/mobile: формы видны</x:v>
      </x:c>
      <x:c r="H19" s="127" t="str">
        <x:v>Invalid блокируется</x:v>
      </x:c>
      <x:c r="I19" s="127" t="str">
        <x:v>После deploy valid не отправлялся</x:v>
      </x:c>
      <x:c r="J19" s="127" t="str">
        <x:v>Console 404×26</x:v>
      </x:c>
      <x:c r="K19" s="127" t="str">
        <x:v>Standard invalid JSON</x:v>
      </x:c>
      <x:c r="L19" s="127" t="str">
        <x:v>ЧАСТИЧНО</x:v>
      </x:c>
      <x:c r="M19" s="127" t="str">
        <x:v>Две валидные доставки; разобрать 404</x:v>
      </x:c>
      <x:c r="N19" s="127" t="str">
        <x:v>19f76757e8d2018e</x:v>
      </x:c>
    </x:row>
    <x:row r="20" ht="54" hidden="0" customHeight="1">
      <x:c r="A20" s="127" t="n">
        <x:v>18</x:v>
      </x:c>
      <x:c r="B20" s="127" t="str">
        <x:v>mchs-spb.ru</x:v>
      </x:c>
      <x:c r="C20" s="127" t="str">
        <x:v>Включён</x:v>
      </x:c>
      <x:c r="D20" s="127" t="str">
        <x:v>Стандартный</x:v>
      </x:c>
      <x:c r="E20" s="127" t="str">
        <x:v>Неверные CTA, ложный успех, mail routing</x:v>
      </x:c>
      <x:c r="F20" s="127" t="str">
        <x:v>Доставка обеих форм подтверждена 24.07</x:v>
      </x:c>
      <x:c r="G20" s="127" t="str">
        <x:v>31.07 desktop/mobile: формы видны</x:v>
      </x:c>
      <x:c r="H20" s="127" t="str">
        <x:v>Invalid блокируется</x:v>
      </x:c>
      <x:c r="I20" s="127" t="str">
        <x:v>Обе формы получены 24.07; HTTP success 29.07</x:v>
      </x:c>
      <x:c r="J20" s="127" t="str">
        <x:v>Нет pageErrors; MX/SPF/DKIM 31.07 OK</x:v>
      </x:c>
      <x:c r="K20" s="127" t="str">
        <x:v>Mail evidence + QA + DNS</x:v>
      </x:c>
      <x:c r="L20" s="127" t="str">
        <x:v>ГОТОВО</x:v>
      </x:c>
      <x:c r="M20" s="127" t="str">
        <x:v>Обязательного остатка нет, пока реализация не меняется</x:v>
      </x:c>
      <x:c r="N20" s="127" t="str">
        <x:v>19f935839b9d04c9; 19f946df58027438</x:v>
      </x:c>
    </x:row>
    <x:row r="21" ht="64.80000305175781" hidden="0" customHeight="1">
      <x:c r="A21" s="127" t="n">
        <x:v>19</x:v>
      </x:c>
      <x:c r="B21" s="127" t="str">
        <x:v>mchs78.ru</x:v>
      </x:c>
      <x:c r="C21" s="127" t="str">
        <x:v>Включён</x:v>
      </x:c>
      <x:c r="D21" s="127" t="str">
        <x:v>Стандартный</x:v>
      </x:c>
      <x:c r="E21" s="127" t="str">
        <x:v>Неверные CTA, ложный успех, письма не доходили</x:v>
      </x:c>
      <x:c r="F21" s="127" t="str">
        <x:v>Явной финальной приёмки нет</x:v>
      </x:c>
      <x:c r="G21" s="127" t="str">
        <x:v>31.07 desktop/mobile: формы видны</x:v>
      </x:c>
      <x:c r="H21" s="127" t="str">
        <x:v>Invalid блокируется</x:v>
      </x:c>
      <x:c r="I21" s="127" t="str">
        <x:v>После deploy valid не отправлялся</x:v>
      </x:c>
      <x:c r="J21" s="127" t="str">
        <x:v>M/validator ×4; console 404×2</x:v>
      </x:c>
      <x:c r="K21" s="127" t="str">
        <x:v>Standard invalid JSON</x:v>
      </x:c>
      <x:c r="L21" s="127" t="str">
        <x:v>ЧАСТИЧНО</x:v>
      </x:c>
      <x:c r="M21" s="127" t="str">
        <x:v>Две валидные доставки; устранить JS errors</x:v>
      </x:c>
      <x:c r="N21" s="127" t="str">
        <x:v>19f76757e8d2018e</x:v>
      </x:c>
    </x:row>
    <x:row r="22" ht="64.80000305175781" hidden="0" customHeight="1">
      <x:c r="A22" s="127" t="n">
        <x:v>20</x:v>
      </x:c>
      <x:c r="B22" s="127" t="str">
        <x:v>fstek.spb.ru</x:v>
      </x:c>
      <x:c r="C22" s="127" t="str">
        <x:v>Исключён</x:v>
      </x:c>
      <x:c r="D22" s="127" t="str">
        <x:v>Исключение</x:v>
      </x:c>
      <x:c r="E22" s="127" t="str">
        <x:v>Формы не нужны</x:v>
      </x:c>
      <x:c r="F22" s="127" t="str">
        <x:v>Прямое исключение клиента</x:v>
      </x:c>
      <x:c r="G22" s="127" t="str">
        <x:v>31.07 desktop/mobile: сайт 200, стандартных форм нет</x:v>
      </x:c>
      <x:c r="H22" s="127" t="str">
        <x:v>Не применяется</x:v>
      </x:c>
      <x:c r="I22" s="127" t="str">
        <x:v>Не применяется</x:v>
      </x:c>
      <x:c r="J22" s="127" t="str">
        <x:v>Нет pageErrors</x:v>
      </x:c>
      <x:c r="K22" s="127" t="str">
        <x:v>QA 31.07</x:v>
      </x:c>
      <x:c r="L22" s="127" t="str">
        <x:v>ИСКЛЮЧЕНО</x:v>
      </x:c>
      <x:c r="M22" s="127" t="str">
        <x:v>Не добавлять формы при массовых изменениях</x:v>
      </x:c>
      <x:c r="N22" s="127" t="str">
        <x:v>19f76757e8d2018e</x:v>
      </x:c>
    </x:row>
    <x:row r="23" ht="64.80000305175781" hidden="0" customHeight="1">
      <x:c r="A23" s="127" t="n">
        <x:v>21</x:v>
      </x:c>
      <x:c r="B23" s="127" t="str">
        <x:v>license39.ru</x:v>
      </x:c>
      <x:c r="C23" s="127" t="str">
        <x:v>Включён</x:v>
      </x:c>
      <x:c r="D23" s="127" t="str">
        <x:v>Стандартный</x:v>
      </x:c>
      <x:c r="E23" s="127" t="str">
        <x:v>Callback не доходил; второе CTA вело на 404</x:v>
      </x:c>
      <x:c r="F23" s="127" t="str">
        <x:v>Клиент: «Все ОК» 24.07</x:v>
      </x:c>
      <x:c r="G23" s="127" t="str">
        <x:v>31.07 desktop/mobile: формы видны</x:v>
      </x:c>
      <x:c r="H23" s="127" t="str">
        <x:v>Invalid блокируется</x:v>
      </x:c>
      <x:c r="I23" s="127" t="str">
        <x:v>Callback получен 24.07; question не свежий</x:v>
      </x:c>
      <x:c r="J23" s="127" t="str">
        <x:v>Console 404×6</x:v>
      </x:c>
      <x:c r="K23" s="127" t="str">
        <x:v>QA 31.07; mail evidence</x:v>
      </x:c>
      <x:c r="L23" s="127" t="str">
        <x:v>ЧАСТИЧНО</x:v>
      </x:c>
      <x:c r="M23" s="127" t="str">
        <x:v>Свежая question и повтор callback; разобрать 404</x:v>
      </x:c>
      <x:c r="N23" s="127" t="str">
        <x:v>19f88d9b1e7d12ec; 19f90041e137ee00; 19f929459b39be8a</x:v>
      </x:c>
    </x:row>
    <x:row r="24" ht="64.80000305175781" hidden="0" customHeight="1">
      <x:c r="A24" s="127" t="n">
        <x:v>22</x:v>
      </x:c>
      <x:c r="B24" s="127" t="str">
        <x:v>medtex39.ru</x:v>
      </x:c>
      <x:c r="C24" s="127" t="str">
        <x:v>Включён</x:v>
      </x:c>
      <x:c r="D24" s="127" t="str">
        <x:v>Стандартный</x:v>
      </x:c>
      <x:c r="E24" s="127" t="str">
        <x:v>Сайт/формы были сломаны или отсутствовали</x:v>
      </x:c>
      <x:c r="F24" s="127" t="str">
        <x:v>Явной финальной приёмки нет</x:v>
      </x:c>
      <x:c r="G24" s="127" t="str">
        <x:v>31.07 desktop/mobile: формы видны</x:v>
      </x:c>
      <x:c r="H24" s="127" t="str">
        <x:v>Invalid блокируется</x:v>
      </x:c>
      <x:c r="I24" s="127" t="str">
        <x:v>После deploy valid не отправлялся</x:v>
      </x:c>
      <x:c r="J24" s="127" t="str">
        <x:v>Console 404×1</x:v>
      </x:c>
      <x:c r="K24" s="127" t="str">
        <x:v>Standard invalid JSON</x:v>
      </x:c>
      <x:c r="L24" s="127" t="str">
        <x:v>ЧАСТИЧНО</x:v>
      </x:c>
      <x:c r="M24" s="127" t="str">
        <x:v>Две свежие валидные доставки; разобрать 404</x:v>
      </x:c>
      <x:c r="N24" s="127" t="str">
        <x:v>19f76757e8d2018e</x:v>
      </x:c>
    </x:row>
    <x:row r="25" ht="64.80000305175781" hidden="0" customHeight="1">
      <x:c r="A25" s="127" t="n">
        <x:v>23</x:v>
      </x:c>
      <x:c r="B25" s="127" t="str">
        <x:v>39mchs.ru</x:v>
      </x:c>
      <x:c r="C25" s="127" t="str">
        <x:v>Включён</x:v>
      </x:c>
      <x:c r="D25" s="127" t="str">
        <x:v>Стандартный</x:v>
      </x:c>
      <x:c r="E25" s="127" t="str">
        <x:v>Неверные CTA, ложный успех, письма не доходили</x:v>
      </x:c>
      <x:c r="F25" s="127" t="str">
        <x:v>Явной финальной приёмки нет</x:v>
      </x:c>
      <x:c r="G25" s="127" t="str">
        <x:v>31.07 desktop/mobile: формы видны</x:v>
      </x:c>
      <x:c r="H25" s="127" t="str">
        <x:v>Invalid блокируется</x:v>
      </x:c>
      <x:c r="I25" s="127" t="str">
        <x:v>После deploy valid не отправлялся</x:v>
      </x:c>
      <x:c r="J25" s="127" t="str">
        <x:v>Console 404×46</x:v>
      </x:c>
      <x:c r="K25" s="127" t="str">
        <x:v>Standard invalid JSON</x:v>
      </x:c>
      <x:c r="L25" s="127" t="str">
        <x:v>ЧАСТИЧНО</x:v>
      </x:c>
      <x:c r="M25" s="127" t="str">
        <x:v>Две валидные доставки; разобрать 404</x:v>
      </x:c>
      <x:c r="N25" s="127" t="str">
        <x:v>19f76757e8d2018e</x:v>
      </x:c>
    </x:row>
    <x:row r="26" ht="75.5999984741211" hidden="0" customHeight="1">
      <x:c r="A26" s="127" t="n">
        <x:v>24</x:v>
      </x:c>
      <x:c r="B26" s="127" t="str">
        <x:v>apreal36.ru</x:v>
      </x:c>
      <x:c r="C26" s="127" t="str">
        <x:v>Включён</x:v>
      </x:c>
      <x:c r="D26" s="127" t="str">
        <x:v>mail.php</x:v>
      </x:c>
      <x:c r="E26" s="127" t="str">
        <x:v>Ложный успех, письма не доходили</x:v>
      </x:c>
      <x:c r="F26" s="127" t="str">
        <x:v>Клиент: «Все ОК» 24.07; позже общий портфель открыт</x:v>
      </x:c>
      <x:c r="G26" s="127" t="str">
        <x:v>31.07 desktop/mobile: формы видны</x:v>
      </x:c>
      <x:c r="H26" s="127" t="str">
        <x:v>Invalid captcha блокируется</x:v>
      </x:c>
      <x:c r="I26" s="127" t="str">
        <x:v>После deploy valid не отправлялся</x:v>
      </x:c>
      <x:c r="J26" s="127" t="str">
        <x:v>jQuery is not defined ×2</x:v>
      </x:c>
      <x:c r="K26" s="127" t="str">
        <x:v>Custom invalid JSON</x:v>
      </x:c>
      <x:c r="L26" s="127" t="str">
        <x:v>ЧАСТИЧНО</x:v>
      </x:c>
      <x:c r="M26" s="127" t="str">
        <x:v>Две валидные доставки; устранить page error</x:v>
      </x:c>
      <x:c r="N26" s="127" t="str">
        <x:v>19f88e0d74b8928e; 19f900a3dcd6aa12</x:v>
      </x:c>
    </x:row>
    <x:row r="27" ht="75.5999984741211" hidden="0" customHeight="1">
      <x:c r="A27" s="127" t="n">
        <x:v>25</x:v>
      </x:c>
      <x:c r="B27" s="127" t="str">
        <x:v>lic-k.ru</x:v>
      </x:c>
      <x:c r="C27" s="127" t="str">
        <x:v>Исключён</x:v>
      </x:c>
      <x:c r="D27" s="127" t="str">
        <x:v>Исключение</x:v>
      </x:c>
      <x:c r="E27" s="127" t="str">
        <x:v>Формы не нужны</x:v>
      </x:c>
      <x:c r="F27" s="127" t="str">
        <x:v>Прямое исключение клиента</x:v>
      </x:c>
      <x:c r="G27" s="127" t="str">
        <x:v>31.07 desktop/mobile: стандартных форм нет</x:v>
      </x:c>
      <x:c r="H27" s="127" t="str">
        <x:v>Не применяется</x:v>
      </x:c>
      <x:c r="I27" s="127" t="str">
        <x:v>Не применяется</x:v>
      </x:c>
      <x:c r="J27" s="127" t="str">
        <x:v>Unexpected token ')' ×2; console 404×2</x:v>
      </x:c>
      <x:c r="K27" s="127" t="str">
        <x:v>QA 31.07</x:v>
      </x:c>
      <x:c r="L27" s="127" t="str">
        <x:v>ЧАСТИЧНО</x:v>
      </x:c>
      <x:c r="M27" s="127" t="str">
        <x:v>Формы не добавлять; JS/404 исправить как отдельный дефект</x:v>
      </x:c>
      <x:c r="N27" s="127" t="str">
        <x:v>19f76757e8d2018e</x:v>
      </x:c>
    </x:row>
    <x:row r="28" ht="75.5999984741211" hidden="0" customHeight="1">
      <x:c r="A28" s="127" t="n">
        <x:v>26</x:v>
      </x:c>
      <x:c r="B28" s="127" t="str">
        <x:v>apreal-nn.ru</x:v>
      </x:c>
      <x:c r="C28" s="127" t="str">
        <x:v>Включён</x:v>
      </x:c>
      <x:c r="D28" s="127" t="str">
        <x:v>Стандартный</x:v>
      </x:c>
      <x:c r="E28" s="127" t="str">
        <x:v>Непонятная маска телефона; письма не доходили</x:v>
      </x:c>
      <x:c r="F28" s="127" t="str">
        <x:v>Клиент: «Все ОК» 24.07; позже общий портфель открыт</x:v>
      </x:c>
      <x:c r="G28" s="127" t="str">
        <x:v>31.07 desktop/mobile: формы видны</x:v>
      </x:c>
      <x:c r="H28" s="127" t="str">
        <x:v>Invalid блокируется</x:v>
      </x:c>
      <x:c r="I28" s="127" t="str">
        <x:v>Callback получен 24.07; question не после общей публикации</x:v>
      </x:c>
      <x:c r="J28" s="127" t="str">
        <x:v>Console 404×12</x:v>
      </x:c>
      <x:c r="K28" s="127" t="str">
        <x:v>QA 31.07; mail evidence</x:v>
      </x:c>
      <x:c r="L28" s="127" t="str">
        <x:v>ЧАСТИЧНО</x:v>
      </x:c>
      <x:c r="M28" s="127" t="str">
        <x:v>Свежая question и повтор callback; разобрать 404</x:v>
      </x:c>
      <x:c r="N28" s="127" t="str">
        <x:v>19f88ec9dbdfcdf0; 19f900cb24eb192c; 19f929459b39be8a</x:v>
      </x:c>
    </x:row>
    <x:row r="29" ht="64.80000305175781" hidden="0" customHeight="1">
      <x:c r="A29" s="127" t="n">
        <x:v>27</x:v>
      </x:c>
      <x:c r="B29" s="127" t="str">
        <x:v>apreal-volgograd.ru</x:v>
      </x:c>
      <x:c r="C29" s="127" t="str">
        <x:v>Включён</x:v>
      </x:c>
      <x:c r="D29" s="127" t="str">
        <x:v>Стандартный</x:v>
      </x:c>
      <x:c r="E29" s="127" t="str">
        <x:v>Форм не было</x:v>
      </x:c>
      <x:c r="F29" s="127" t="str">
        <x:v>Явной финальной приёмки нет</x:v>
      </x:c>
      <x:c r="G29" s="127" t="str">
        <x:v>31.07 desktop/mobile: формы видны</x:v>
      </x:c>
      <x:c r="H29" s="127" t="str">
        <x:v>Invalid блокируется</x:v>
      </x:c>
      <x:c r="I29" s="127" t="str">
        <x:v>После deploy valid не отправлялся</x:v>
      </x:c>
      <x:c r="J29" s="127" t="str">
        <x:v>Mixed-content ×2</x:v>
      </x:c>
      <x:c r="K29" s="127" t="str">
        <x:v>Standard invalid JSON</x:v>
      </x:c>
      <x:c r="L29" s="127" t="str">
        <x:v>ЧАСТИЧНО</x:v>
      </x:c>
      <x:c r="M29" s="127" t="str">
        <x:v>Две валидные доставки; убрать mixed-content</x:v>
      </x:c>
      <x:c r="N29" s="127" t="str">
        <x:v>19f76757e8d2018e</x:v>
      </x:c>
    </x:row>
    <x:row r="30" ht="64.80000305175781" hidden="0" customHeight="1">
      <x:c r="A30" s="127" t="n">
        <x:v>28</x:v>
      </x:c>
      <x:c r="B30" s="127" t="str">
        <x:v>apreal-samara.ru</x:v>
      </x:c>
      <x:c r="C30" s="127" t="str">
        <x:v>Исключён</x:v>
      </x:c>
      <x:c r="D30" s="127" t="str">
        <x:v>Исключение</x:v>
      </x:c>
      <x:c r="E30" s="127" t="str">
        <x:v>Формы не нужны; сайт заражён/заблокирован</x:v>
      </x:c>
      <x:c r="F30" s="127" t="str">
        <x:v>Прямое исключение клиента</x:v>
      </x:c>
      <x:c r="G30" s="127" t="str">
        <x:v>31.07: оба viewport не открылись</x:v>
      </x:c>
      <x:c r="H30" s="127" t="str">
        <x:v>Не применяется</x:v>
      </x:c>
      <x:c r="I30" s="127" t="str">
        <x:v>Не применяется</x:v>
      </x:c>
      <x:c r="J30" s="127" t="str">
        <x:v>ERR_NAME_NOT_RESOLVED</x:v>
      </x:c>
      <x:c r="K30" s="127" t="str">
        <x:v>QA 31.07</x:v>
      </x:c>
      <x:c r="L30" s="127" t="str">
        <x:v>БЛОКИРОВАНО</x:v>
      </x:c>
      <x:c r="M30" s="127" t="str">
        <x:v>Отдельное решение по восстановлению/DNS; формы не добавлять</x:v>
      </x:c>
      <x:c r="N30" s="127" t="str">
        <x:v>19f76757e8d2018e</x:v>
      </x:c>
    </x:row>
    <x:row r="31" ht="75.5999984741211" hidden="0" customHeight="1">
      <x:c r="A31" s="127" t="n">
        <x:v>29</x:v>
      </x:c>
      <x:c r="B31" s="127" t="str">
        <x:v>apreal72.ru</x:v>
      </x:c>
      <x:c r="C31" s="127" t="str">
        <x:v>Включён</x:v>
      </x:c>
      <x:c r="D31" s="127" t="str">
        <x:v>Стандартный</x:v>
      </x:c>
      <x:c r="E31" s="127" t="str">
        <x:v>Сайт был припаркован; формы не доставляли письма</x:v>
      </x:c>
      <x:c r="F31" s="127" t="str">
        <x:v>Клиент: «Все ОК» 23.07; позже общий портфель открыт</x:v>
      </x:c>
      <x:c r="G31" s="127" t="str">
        <x:v>31.07 desktop/mobile: формы видны</x:v>
      </x:c>
      <x:c r="H31" s="127" t="str">
        <x:v>Invalid блокируется</x:v>
      </x:c>
      <x:c r="I31" s="127" t="str">
        <x:v>Только старый callback HTTP 20.07</x:v>
      </x:c>
      <x:c r="J31" s="127" t="str">
        <x:v>Console 404×4</x:v>
      </x:c>
      <x:c r="K31" s="127" t="str">
        <x:v>QA 31.07; старый HTTP</x:v>
      </x:c>
      <x:c r="L31" s="127" t="str">
        <x:v>ЧАСТИЧНО</x:v>
      </x:c>
      <x:c r="M31" s="127" t="str">
        <x:v>Две свежие валидные доставки; разобрать 404</x:v>
      </x:c>
      <x:c r="N31" s="127" t="str">
        <x:v>19f8913e3dde5886</x:v>
      </x:c>
    </x:row>
    <x:row r="32" ht="75.5999984741211" hidden="0" customHeight="1">
      <x:c r="A32" s="127" t="n">
        <x:v>30</x:v>
      </x:c>
      <x:c r="B32" s="127" t="str">
        <x:v>nousro.ru</x:v>
      </x:c>
      <x:c r="C32" s="127" t="str">
        <x:v>Включён</x:v>
      </x:c>
      <x:c r="D32" s="127" t="str">
        <x:v>Стандартный</x:v>
      </x:c>
      <x:c r="E32" s="127" t="str">
        <x:v>Убрать тип лица/компании и email; оставить телефон</x:v>
      </x:c>
      <x:c r="F32" s="127" t="str">
        <x:v>Клиент: «Все ОК» 23.07; позже общий портфель открыт</x:v>
      </x:c>
      <x:c r="G32" s="127" t="str">
        <x:v>31.07 desktop/mobile: формы видны</x:v>
      </x:c>
      <x:c r="H32" s="127" t="str">
        <x:v>Invalid блокируется</x:v>
      </x:c>
      <x:c r="I32" s="127" t="str">
        <x:v>После deploy valid не отправлялся</x:v>
      </x:c>
      <x:c r="J32" s="127" t="str">
        <x:v>Vue/offsetWidth ×4; console ×4</x:v>
      </x:c>
      <x:c r="K32" s="127" t="str">
        <x:v>Standard invalid JSON</x:v>
      </x:c>
      <x:c r="L32" s="127" t="str">
        <x:v>ЧАСТИЧНО</x:v>
      </x:c>
      <x:c r="M32" s="127" t="str">
        <x:v>Две доставки; устранить JS errors</x:v>
      </x:c>
      <x:c r="N32" s="127" t="str">
        <x:v>19f8936c6a649175; 19f89dd6877a63f3</x:v>
      </x:c>
    </x:row>
    <x:row r="33" ht="54" hidden="0" customHeight="1">
      <x:c r="A33" s="127" t="n">
        <x:v>31</x:v>
      </x:c>
      <x:c r="B33" s="127" t="str">
        <x:v>dpomuc.ru</x:v>
      </x:c>
      <x:c r="C33" s="127" t="str">
        <x:v>Включён</x:v>
      </x:c>
      <x:c r="D33" s="127" t="str">
        <x:v>Стандартный</x:v>
      </x:c>
      <x:c r="E33" s="127" t="str">
        <x:v>Бесконечный spinner; email не нужен</x:v>
      </x:c>
      <x:c r="F33" s="127" t="str">
        <x:v>Явной финальной приёмки нет</x:v>
      </x:c>
      <x:c r="G33" s="127" t="str">
        <x:v>31.07 desktop/mobile: формы видны</x:v>
      </x:c>
      <x:c r="H33" s="127" t="str">
        <x:v>Invalid блокируется</x:v>
      </x:c>
      <x:c r="I33" s="127" t="str">
        <x:v>После deploy valid не отправлялся</x:v>
      </x:c>
      <x:c r="J33" s="127" t="str">
        <x:v>Нет pageErrors</x:v>
      </x:c>
      <x:c r="K33" s="127" t="str">
        <x:v>Standard invalid JSON</x:v>
      </x:c>
      <x:c r="L33" s="127" t="str">
        <x:v>ЧАСТИЧНО</x:v>
      </x:c>
      <x:c r="M33" s="127" t="str">
        <x:v>Две свежие валидные доставки</x:v>
      </x:c>
      <x:c r="N33" s="127" t="str">
        <x:v>19f76757e8d2018e</x:v>
      </x:c>
    </x:row>
    <x:row r="34" ht="64.80000305175781" hidden="0" customHeight="1">
      <x:c r="A34" s="127" t="n">
        <x:v>32</x:v>
      </x:c>
      <x:c r="B34" s="127" t="str">
        <x:v>nousro-spb.ru</x:v>
      </x:c>
      <x:c r="C34" s="127" t="str">
        <x:v>Включён</x:v>
      </x:c>
      <x:c r="D34" s="127" t="str">
        <x:v>CF7</x:v>
      </x:c>
      <x:c r="E34" s="127" t="str">
        <x:v>Поля молча очищались; layout, крестик, галочка</x:v>
      </x:c>
      <x:c r="F34" s="127" t="str">
        <x:v>Клиент: «Все ОК» 23.07; позже новые замечания</x:v>
      </x:c>
      <x:c r="G34" s="127" t="str">
        <x:v>31.07 desktop/mobile: формы видны</x:v>
      </x:c>
      <x:c r="H34" s="127" t="str">
        <x:v>Свежего CF7 server-side invalid-теста нет</x:v>
      </x:c>
      <x:c r="I34" s="127" t="str">
        <x:v>Свежая пара писем не доказана</x:v>
      </x:c>
      <x:c r="J34" s="127" t="str">
        <x:v>parentNode null ×2</x:v>
      </x:c>
      <x:c r="K34" s="127" t="str">
        <x:v>QA 31.07</x:v>
      </x:c>
      <x:c r="L34" s="127" t="str">
        <x:v>ЧАСТИЧНО</x:v>
      </x:c>
      <x:c r="M34" s="127" t="str">
        <x:v>CF7 invalid/valid; обе доставки; устранить page error</x:v>
      </x:c>
      <x:c r="N34" s="127" t="str">
        <x:v>19f8945e74138f0f; 19f89d967a7ba246; 19f8de7a687ed657</x:v>
      </x:c>
    </x:row>
    <x:row r="35" ht="75.5999984741211" hidden="0" customHeight="1">
      <x:c r="A35" s="127" t="n">
        <x:v>33</x:v>
      </x:c>
      <x:c r="B35" s="127" t="str">
        <x:v>ed-kgd.ru</x:v>
      </x:c>
      <x:c r="C35" s="127" t="str">
        <x:v>Включён</x:v>
      </x:c>
      <x:c r="D35" s="127" t="str">
        <x:v>Стандартный</x:v>
      </x:c>
      <x:c r="E35" s="127" t="str">
        <x:v>Изначально «ОК», затем портфельная унификация</x:v>
      </x:c>
      <x:c r="F35" s="127" t="str">
        <x:v>Клиент: «Все ОК» 23.07; позже общий портфель открыт</x:v>
      </x:c>
      <x:c r="G35" s="127" t="str">
        <x:v>31.07 desktop/mobile: формы видны</x:v>
      </x:c>
      <x:c r="H35" s="127" t="str">
        <x:v>Invalid блокируется</x:v>
      </x:c>
      <x:c r="I35" s="127" t="str">
        <x:v>После deploy valid не отправлялся</x:v>
      </x:c>
      <x:c r="J35" s="127" t="str">
        <x:v>Нет pageErrors</x:v>
      </x:c>
      <x:c r="K35" s="127" t="str">
        <x:v>Standard invalid JSON</x:v>
      </x:c>
      <x:c r="L35" s="127" t="str">
        <x:v>ЧАСТИЧНО</x:v>
      </x:c>
      <x:c r="M35" s="127" t="str">
        <x:v>Две свежие валидные доставки</x:v>
      </x:c>
      <x:c r="N35" s="127" t="str">
        <x:v>19f89dff00f5faf5</x:v>
      </x:c>
    </x:row>
    <x:row r="36" ht="64.80000305175781" hidden="0" customHeight="1">
      <x:c r="A36" s="127" t="n">
        <x:v>34</x:v>
      </x:c>
      <x:c r="B36" s="127" t="str">
        <x:v>muc-vrn.ru</x:v>
      </x:c>
      <x:c r="C36" s="127" t="str">
        <x:v>Включён</x:v>
      </x:c>
      <x:c r="D36" s="127" t="str">
        <x:v>Стандартный</x:v>
      </x:c>
      <x:c r="E36" s="127" t="str">
        <x:v>Изначально «ОК»; затем desktop/mobile controls</x:v>
      </x:c>
      <x:c r="F36" s="127" t="str">
        <x:v>Клиент: «Спасибо!!» после прежнего исправления</x:v>
      </x:c>
      <x:c r="G36" s="127" t="str">
        <x:v>31.07 desktop/mobile: формы видны</x:v>
      </x:c>
      <x:c r="H36" s="127" t="str">
        <x:v>Invalid блокируется</x:v>
      </x:c>
      <x:c r="I36" s="127" t="str">
        <x:v>После deploy valid не отправлялся</x:v>
      </x:c>
      <x:c r="J36" s="127" t="str">
        <x:v>Три типа pageErrors, всего ×6</x:v>
      </x:c>
      <x:c r="K36" s="127" t="str">
        <x:v>Standard invalid JSON</x:v>
      </x:c>
      <x:c r="L36" s="127" t="str">
        <x:v>ЧАСТИЧНО</x:v>
      </x:c>
      <x:c r="M36" s="127" t="str">
        <x:v>Две доставки; устранить page errors</x:v>
      </x:c>
      <x:c r="N36" s="127" t="str">
        <x:v>19f894bb77b5a48e; 19f89a7f553789d6</x:v>
      </x:c>
    </x:row>
    <x:row r="37" ht="64.80000305175781" hidden="0" customHeight="1">
      <x:c r="A37" s="127" t="n">
        <x:v>35</x:v>
      </x:c>
      <x:c r="B37" s="127" t="str">
        <x:v>ed-krd.ru</x:v>
      </x:c>
      <x:c r="C37" s="127" t="str">
        <x:v>Исключён</x:v>
      </x:c>
      <x:c r="D37" s="127" t="str">
        <x:v>Исключение</x:v>
      </x:c>
      <x:c r="E37" s="127" t="str">
        <x:v>Формы не нужны</x:v>
      </x:c>
      <x:c r="F37" s="127" t="str">
        <x:v>Прямое исключение клиента</x:v>
      </x:c>
      <x:c r="G37" s="127" t="str">
        <x:v>31.07 desktop/mobile: сайт 200, стандартных форм нет</x:v>
      </x:c>
      <x:c r="H37" s="127" t="str">
        <x:v>Не применяется</x:v>
      </x:c>
      <x:c r="I37" s="127" t="str">
        <x:v>Не применяется</x:v>
      </x:c>
      <x:c r="J37" s="127" t="str">
        <x:v>Нет pageErrors</x:v>
      </x:c>
      <x:c r="K37" s="127" t="str">
        <x:v>QA 31.07</x:v>
      </x:c>
      <x:c r="L37" s="127" t="str">
        <x:v>ИСКЛЮЧЕНО</x:v>
      </x:c>
      <x:c r="M37" s="127" t="str">
        <x:v>Не добавлять формы при массовых изменениях</x:v>
      </x:c>
      <x:c r="N37" s="127" t="str">
        <x:v>19f76757e8d2018e</x:v>
      </x:c>
    </x:row>
    <x:row r="38" ht="75.5999984741211" hidden="0" customHeight="1">
      <x:c r="A38" s="127" t="n">
        <x:v>36</x:v>
      </x:c>
      <x:c r="B38" s="127" t="str">
        <x:v>nousro-nn.ru</x:v>
      </x:c>
      <x:c r="C38" s="127" t="str">
        <x:v>Включён</x:v>
      </x:c>
      <x:c r="D38" s="127" t="str">
        <x:v>Стандартный</x:v>
      </x:c>
      <x:c r="E38" s="127" t="str">
        <x:v>Убрать email; оставить телефон</x:v>
      </x:c>
      <x:c r="F38" s="127" t="str">
        <x:v>Клиент: «Все ОК» 24.07; позже общий портфель открыт</x:v>
      </x:c>
      <x:c r="G38" s="127" t="str">
        <x:v>31.07 desktop/mobile: формы видны</x:v>
      </x:c>
      <x:c r="H38" s="127" t="str">
        <x:v>Invalid блокируется</x:v>
      </x:c>
      <x:c r="I38" s="127" t="str">
        <x:v>Receipt 24.07 относится к старому файлу</x:v>
      </x:c>
      <x:c r="J38" s="127" t="str">
        <x:v>Vue/offsetWidth ×4; console ×4</x:v>
      </x:c>
      <x:c r="K38" s="127" t="str">
        <x:v>QA 31.07; old receipt</x:v>
      </x:c>
      <x:c r="L38" s="127" t="str">
        <x:v>ЧАСТИЧНО</x:v>
      </x:c>
      <x:c r="M38" s="127" t="str">
        <x:v>Две свежие доставки; устранить JS errors</x:v>
      </x:c>
      <x:c r="N38" s="127" t="str">
        <x:v>19f901b89f3bd18c; 19f929459b39be8a</x:v>
      </x:c>
    </x:row>
    <x:row r="39" ht="75.5999984741211" hidden="0" customHeight="1">
      <x:c r="A39" s="128" t="n">
        <x:v>37</x:v>
      </x:c>
      <x:c r="B39" s="128" t="str">
        <x:v>shopap.ru</x:v>
      </x:c>
      <x:c r="C39" s="128" t="str">
        <x:v>Включён</x:v>
      </x:c>
      <x:c r="D39" s="128" t="str">
        <x:v>Стандартный</x:v>
      </x:c>
      <x:c r="E39" s="128" t="str">
        <x:v>Письмо выглядело от Beget; позже phone+question+captcha</x:v>
      </x:c>
      <x:c r="F39" s="128" t="str">
        <x:v>Клиент: «Все ОК» 24.07; позже общий портфель открыт</x:v>
      </x:c>
      <x:c r="G39" s="128" t="str">
        <x:v>31.07 desktop/mobile: формы видны</x:v>
      </x:c>
      <x:c r="H39" s="128" t="str">
        <x:v>Invalid блокируется</x:v>
      </x:c>
      <x:c r="I39" s="128" t="str">
        <x:v>Есть отдельные старые HTTP/receipt; нет свежей пары</x:v>
      </x:c>
      <x:c r="J39" s="128" t="str">
        <x:v>Нет pageErrors</x:v>
      </x:c>
      <x:c r="K39" s="128" t="str">
        <x:v>QA 31.07; old mail evidence</x:v>
      </x:c>
      <x:c r="L39" s="128" t="str">
        <x:v>ЧАСТИЧНО</x:v>
      </x:c>
      <x:c r="M39" s="128" t="str">
        <x:v>Свежая пара доставок; проверить From/Reply-To</x:v>
      </x:c>
      <x:c r="N39" s="128" t="str">
        <x:v>19f891d2bdc8ae00; 19f901f92d897c47; 19f929459b39be8a</x:v>
      </x:c>
    </x:row>
  </x:sheetData>
  <x:mergeCells>
    <x:mergeCell ref="A1:N1"/>
    <x:mergeCell ref="A2:N2"/>
  </x:mergeCells>
  <x:conditionalFormatting sqref="L5:L39">
    <x:cfRule type="containsText" dxfId="0" priority="1" operator="containsText" text="ГОТОВО"/>
    <x:cfRule type="containsText" dxfId="1" priority="2" operator="containsText" text="ПЕРЕНЕСЁН"/>
    <x:cfRule type="containsText" dxfId="2" priority="3" operator="containsText" text="ЧАСТИЧНО"/>
    <x:cfRule type="containsText" dxfId="3" priority="4" operator="containsText" text="НУЖЕН QA"/>
    <x:cfRule type="containsText" dxfId="4" priority="5" operator="containsText" text="БЛОКИРОВАНО"/>
    <x:cfRule type="containsText" dxfId="5" priority="6" operator="containsText" text="ПРОТИВОРЕЧИЕ"/>
    <x:cfRule type="containsText" dxfId="6" priority="7" operator="containsText" text="НЕЯСНЫЙ"/>
    <x:cfRule type="containsText" dxfId="7" priority="8" operator="containsText" text="ИСКЛЮЧЕНО"/>
  </x:conditionalFormatting>
  <x:dataValidations count="1">
    <x:dataValidation type="list" sqref="L5:L39">
      <x:formula1>"ГОТОВО,ЧАСТИЧНО,ИСКЛЮЧЕНО,БЛОКИРОВАНО"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579524640140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31" hidden="0" customWidth="1"/>
    <x:col min="4" max="4" width="28" hidden="0" customWidth="1"/>
    <x:col min="5" max="5" width="42" hidden="0" customWidth="1"/>
    <x:col min="6" max="6" width="38" hidden="0" customWidth="1"/>
    <x:col min="7" max="7" width="40" hidden="0" customWidth="1"/>
    <x:col min="8" max="8" width="20" hidden="0" customWidth="1"/>
    <x:col min="9" max="9" width="36" hidden="0" customWidth="1"/>
  </x:cols>
  <x:sheetData>
    <x:row r="1" ht="30" customHeight="1">
      <x:c r="A1" s="112" t="str">
        <x:v>Матрица переноса на Beget</x:v>
      </x:c>
    </x:row>
    <x:row r="2" ht="34" customHeight="1">
      <x:c r="A2" s="114" t="str">
        <x:v>Первичный объём: 35 прямо порученных доменов. Доказано 29 переносов; 5 заблокированы; 1 имеет конфликт scope. 39mchs.ru перенесён, но источник поручения не найден.</x:v>
      </x:c>
    </x:row>
    <x:row r="4" ht="38" customHeight="1">
      <x:c r="A4" s="123" t="str">
        <x:v>№</x:v>
      </x:c>
      <x:c r="B4" s="124" t="str">
        <x:v>Домен</x:v>
      </x:c>
      <x:c r="C4" s="124" t="str">
        <x:v>Категория</x:v>
      </x:c>
      <x:c r="D4" s="124" t="str">
        <x:v>Основание scope</x:v>
      </x:c>
      <x:c r="E4" s="124" t="str">
        <x:v>Историческое доказательство</x:v>
      </x:c>
      <x:c r="F4" s="124" t="str">
        <x:v>Фактический статус</x:v>
      </x:c>
      <x:c r="G4" s="124" t="str">
        <x:v>Реально осталось</x:v>
      </x:c>
      <x:c r="H4" s="124" t="str">
        <x:v>Статус</x:v>
      </x:c>
      <x:c r="I4" s="125" t="str">
        <x:v>Источник</x:v>
      </x:c>
    </x:row>
    <x:row r="5" ht="75.5999984741211" hidden="0" customHeight="1">
      <x:c r="A5" s="126" t="n">
        <x:v>1</x:v>
      </x:c>
      <x:c r="B5" s="126" t="str">
        <x:v>91web.ru</x:v>
      </x:c>
      <x:c r="C5" s="126" t="str">
        <x:v>Поручен — перенесён</x:v>
      </x:c>
      <x:c r="D5" s="126" t="str">
        <x:v>Первый список клиента</x:v>
      </x:c>
      <x:c r="E5" s="126" t="str">
        <x:v>Включён в отчёт переноса 16.07; 29 прямо порученных переносов</x:v>
      </x:c>
      <x:c r="F5" s="126" t="str">
        <x:v>Перенос доказан исторически; свежий live QA отсутствует</x:v>
      </x:c>
      <x:c r="G5" s="126" t="str">
        <x:v>Свежий HTTP/TLS/DNS/mail QA</x:v>
      </x:c>
      <x:c r="H5" s="126" t="str">
        <x:v>НУЖЕН QA</x:v>
      </x:c>
      <x:c r="I5" s="126" t="str">
        <x:v>Gmail 19ec5aff809fe031; отчёт 16.07</x:v>
      </x:c>
    </x:row>
    <x:row r="6" ht="75.5999984741211" hidden="0" customHeight="1">
      <x:c r="A6" s="127" t="n">
        <x:v>2</x:v>
      </x:c>
      <x:c r="B6" s="127" t="str">
        <x:v>apreal-nn.ru</x:v>
      </x:c>
      <x:c r="C6" s="127" t="str">
        <x:v>Поручен — перенесён</x:v>
      </x:c>
      <x:c r="D6" s="127" t="str">
        <x:v>Первый список клиента</x:v>
      </x:c>
      <x:c r="E6" s="127" t="str">
        <x:v>Включён в отчёт переноса 16.07; 29 прямо порученных переносов</x:v>
      </x:c>
      <x:c r="F6" s="127" t="str">
        <x:v>Перенос доказан; домен также присутствует в свежем form/site QA</x:v>
      </x:c>
      <x:c r="G6" s="127" t="str">
        <x:v>Сохранить current evidence и не смешивать с доставкой форм</x:v>
      </x:c>
      <x:c r="H6" s="127" t="str">
        <x:v>ПЕРЕНЕСЁН</x:v>
      </x:c>
      <x:c r="I6" s="127" t="str">
        <x:v>Gmail 19ec5aff809fe031; отчёт 16.07</x:v>
      </x:c>
    </x:row>
    <x:row r="7" ht="75.5999984741211" hidden="0" customHeight="1">
      <x:c r="A7" s="127" t="n">
        <x:v>3</x:v>
      </x:c>
      <x:c r="B7" s="127" t="str">
        <x:v>apreal-volgograd.ru</x:v>
      </x:c>
      <x:c r="C7" s="127" t="str">
        <x:v>Поручен — перенесён</x:v>
      </x:c>
      <x:c r="D7" s="127" t="str">
        <x:v>Первый список клиента</x:v>
      </x:c>
      <x:c r="E7" s="127" t="str">
        <x:v>Включён в отчёт переноса 16.07; 29 прямо порученных переносов</x:v>
      </x:c>
      <x:c r="F7" s="127" t="str">
        <x:v>Перенос доказан; домен также присутствует в свежем form/site QA</x:v>
      </x:c>
      <x:c r="G7" s="127" t="str">
        <x:v>Сохранить current evidence и не смешивать с доставкой форм</x:v>
      </x:c>
      <x:c r="H7" s="127" t="str">
        <x:v>ПЕРЕНЕСЁН</x:v>
      </x:c>
      <x:c r="I7" s="127" t="str">
        <x:v>Gmail 19ec5aff809fe031; отчёт 16.07</x:v>
      </x:c>
    </x:row>
    <x:row r="8" ht="75.5999984741211" hidden="0" customHeight="1">
      <x:c r="A8" s="127" t="n">
        <x:v>4</x:v>
      </x:c>
      <x:c r="B8" s="127" t="str">
        <x:v>apreal.ru</x:v>
      </x:c>
      <x:c r="C8" s="127" t="str">
        <x:v>Поручен — перенесён</x:v>
      </x:c>
      <x:c r="D8" s="127" t="str">
        <x:v>Первый список клиента</x:v>
      </x:c>
      <x:c r="E8" s="127" t="str">
        <x:v>Включён в отчёт переноса 16.07; 29 прямо порученных переносов</x:v>
      </x:c>
      <x:c r="F8" s="127" t="str">
        <x:v>Перенос доказан; домен также присутствует в свежем form/site QA</x:v>
      </x:c>
      <x:c r="G8" s="127" t="str">
        <x:v>Сохранить current evidence и не смешивать с доставкой форм</x:v>
      </x:c>
      <x:c r="H8" s="127" t="str">
        <x:v>ПЕРЕНЕСЁН</x:v>
      </x:c>
      <x:c r="I8" s="127" t="str">
        <x:v>Gmail 19ec5aff809fe031; отчёт 16.07</x:v>
      </x:c>
    </x:row>
    <x:row r="9" ht="75.5999984741211" hidden="0" customHeight="1">
      <x:c r="A9" s="127" t="n">
        <x:v>5</x:v>
      </x:c>
      <x:c r="B9" s="127" t="str">
        <x:v>apreal36.ru</x:v>
      </x:c>
      <x:c r="C9" s="127" t="str">
        <x:v>Поручен — перенесён</x:v>
      </x:c>
      <x:c r="D9" s="127" t="str">
        <x:v>Первый список клиента</x:v>
      </x:c>
      <x:c r="E9" s="127" t="str">
        <x:v>Включён в отчёт переноса 16.07; 29 прямо порученных переносов</x:v>
      </x:c>
      <x:c r="F9" s="127" t="str">
        <x:v>Перенос доказан; домен также присутствует в свежем form/site QA</x:v>
      </x:c>
      <x:c r="G9" s="127" t="str">
        <x:v>Сохранить current evidence и не смешивать с доставкой форм</x:v>
      </x:c>
      <x:c r="H9" s="127" t="str">
        <x:v>ПЕРЕНЕСЁН</x:v>
      </x:c>
      <x:c r="I9" s="127" t="str">
        <x:v>Gmail 19ec5aff809fe031; отчёт 16.07</x:v>
      </x:c>
    </x:row>
    <x:row r="10" ht="75.5999984741211" hidden="0" customHeight="1">
      <x:c r="A10" s="127" t="n">
        <x:v>6</x:v>
      </x:c>
      <x:c r="B10" s="127" t="str">
        <x:v>apreal72.ru</x:v>
      </x:c>
      <x:c r="C10" s="127" t="str">
        <x:v>Поручен — перенесён</x:v>
      </x:c>
      <x:c r="D10" s="127" t="str">
        <x:v>Первый список клиента</x:v>
      </x:c>
      <x:c r="E10" s="127" t="str">
        <x:v>Включён в отчёт переноса 16.07; 29 прямо порученных переносов</x:v>
      </x:c>
      <x:c r="F10" s="127" t="str">
        <x:v>Перенос доказан; домен также присутствует в свежем form/site QA</x:v>
      </x:c>
      <x:c r="G10" s="127" t="str">
        <x:v>Сохранить current evidence и не смешивать с доставкой форм</x:v>
      </x:c>
      <x:c r="H10" s="127" t="str">
        <x:v>ПЕРЕНЕСЁН</x:v>
      </x:c>
      <x:c r="I10" s="127" t="str">
        <x:v>Gmail 19ec5aff809fe031; отчёт 16.07</x:v>
      </x:c>
    </x:row>
    <x:row r="11" ht="75.5999984741211" hidden="0" customHeight="1">
      <x:c r="A11" s="127" t="n">
        <x:v>7</x:v>
      </x:c>
      <x:c r="B11" s="127" t="str">
        <x:v>docp.ru</x:v>
      </x:c>
      <x:c r="C11" s="127" t="str">
        <x:v>Поручен — перенесён</x:v>
      </x:c>
      <x:c r="D11" s="127" t="str">
        <x:v>Первый список клиента</x:v>
      </x:c>
      <x:c r="E11" s="127" t="str">
        <x:v>Включён в отчёт переноса 16.07; 29 прямо порученных переносов</x:v>
      </x:c>
      <x:c r="F11" s="127" t="str">
        <x:v>Перенос доказан; домен также присутствует в свежем form/site QA</x:v>
      </x:c>
      <x:c r="G11" s="127" t="str">
        <x:v>Сохранить current evidence и не смешивать с доставкой форм</x:v>
      </x:c>
      <x:c r="H11" s="127" t="str">
        <x:v>ПЕРЕНЕСЁН</x:v>
      </x:c>
      <x:c r="I11" s="127" t="str">
        <x:v>Gmail 19ec5aff809fe031; отчёт 16.07</x:v>
      </x:c>
    </x:row>
    <x:row r="12" ht="75.5999984741211" hidden="0" customHeight="1">
      <x:c r="A12" s="127" t="n">
        <x:v>8</x:v>
      </x:c>
      <x:c r="B12" s="127" t="str">
        <x:v>elecktro.ru</x:v>
      </x:c>
      <x:c r="C12" s="127" t="str">
        <x:v>Поручен — перенесён</x:v>
      </x:c>
      <x:c r="D12" s="127" t="str">
        <x:v>Первый список клиента</x:v>
      </x:c>
      <x:c r="E12" s="127" t="str">
        <x:v>Включён в отчёт переноса 16.07; 29 прямо порученных переносов</x:v>
      </x:c>
      <x:c r="F12" s="127" t="str">
        <x:v>Перенос доказан; домен также присутствует в свежем form/site QA</x:v>
      </x:c>
      <x:c r="G12" s="127" t="str">
        <x:v>Сохранить current evidence и не смешивать с доставкой форм</x:v>
      </x:c>
      <x:c r="H12" s="127" t="str">
        <x:v>ПЕРЕНЕСЁН</x:v>
      </x:c>
      <x:c r="I12" s="127" t="str">
        <x:v>Gmail 19ec5aff809fe031; отчёт 16.07</x:v>
      </x:c>
    </x:row>
    <x:row r="13" ht="75.5999984741211" hidden="0" customHeight="1">
      <x:c r="A13" s="127" t="n">
        <x:v>9</x:v>
      </x:c>
      <x:c r="B13" s="127" t="str">
        <x:v>fsa-lab.ru</x:v>
      </x:c>
      <x:c r="C13" s="127" t="str">
        <x:v>Поручен — перенесён</x:v>
      </x:c>
      <x:c r="D13" s="127" t="str">
        <x:v>Первый список клиента</x:v>
      </x:c>
      <x:c r="E13" s="127" t="str">
        <x:v>Включён в отчёт переноса 16.07; 29 прямо порученных переносов</x:v>
      </x:c>
      <x:c r="F13" s="127" t="str">
        <x:v>Перенос доказан; домен также присутствует в свежем form/site QA</x:v>
      </x:c>
      <x:c r="G13" s="127" t="str">
        <x:v>Сохранить current evidence и не смешивать с доставкой форм</x:v>
      </x:c>
      <x:c r="H13" s="127" t="str">
        <x:v>ПЕРЕНЕСЁН</x:v>
      </x:c>
      <x:c r="I13" s="127" t="str">
        <x:v>Gmail 19ec5aff809fe031; отчёт 16.07</x:v>
      </x:c>
    </x:row>
    <x:row r="14" ht="75.5999984741211" hidden="0" customHeight="1">
      <x:c r="A14" s="127" t="n">
        <x:v>10</x:v>
      </x:c>
      <x:c r="B14" s="127" t="str">
        <x:v>fste.ru</x:v>
      </x:c>
      <x:c r="C14" s="127" t="str">
        <x:v>Поручен — перенесён</x:v>
      </x:c>
      <x:c r="D14" s="127" t="str">
        <x:v>Первый список клиента</x:v>
      </x:c>
      <x:c r="E14" s="127" t="str">
        <x:v>Включён в отчёт переноса 16.07; 29 прямо порученных переносов</x:v>
      </x:c>
      <x:c r="F14" s="127" t="str">
        <x:v>Перенос доказан; домен также присутствует в свежем form/site QA</x:v>
      </x:c>
      <x:c r="G14" s="127" t="str">
        <x:v>Сохранить current evidence и не смешивать с доставкой форм</x:v>
      </x:c>
      <x:c r="H14" s="127" t="str">
        <x:v>ПЕРЕНЕСЁН</x:v>
      </x:c>
      <x:c r="I14" s="127" t="str">
        <x:v>Gmail 19ec5aff809fe031; отчёт 16.07</x:v>
      </x:c>
    </x:row>
    <x:row r="15" ht="75.5999984741211" hidden="0" customHeight="1">
      <x:c r="A15" s="127" t="n">
        <x:v>11</x:v>
      </x:c>
      <x:c r="B15" s="127" t="str">
        <x:v>lfsb.ru</x:v>
      </x:c>
      <x:c r="C15" s="127" t="str">
        <x:v>Поручен — перенесён</x:v>
      </x:c>
      <x:c r="D15" s="127" t="str">
        <x:v>Первый список клиента</x:v>
      </x:c>
      <x:c r="E15" s="127" t="str">
        <x:v>Включён в отчёт переноса 16.07; 29 прямо порученных переносов</x:v>
      </x:c>
      <x:c r="F15" s="127" t="str">
        <x:v>Перенос доказан; домен также присутствует в свежем form/site QA</x:v>
      </x:c>
      <x:c r="G15" s="127" t="str">
        <x:v>Сохранить current evidence и не смешивать с доставкой форм</x:v>
      </x:c>
      <x:c r="H15" s="127" t="str">
        <x:v>ПЕРЕНЕСЁН</x:v>
      </x:c>
      <x:c r="I15" s="127" t="str">
        <x:v>Gmail 19ec5aff809fe031; отчёт 16.07</x:v>
      </x:c>
    </x:row>
    <x:row r="16" ht="75.5999984741211" hidden="0" customHeight="1">
      <x:c r="A16" s="127" t="n">
        <x:v>12</x:v>
      </x:c>
      <x:c r="B16" s="127" t="str">
        <x:v>mca24.ru</x:v>
      </x:c>
      <x:c r="C16" s="127" t="str">
        <x:v>Поручен — перенесён</x:v>
      </x:c>
      <x:c r="D16" s="127" t="str">
        <x:v>Первый список клиента</x:v>
      </x:c>
      <x:c r="E16" s="127" t="str">
        <x:v>Включён в отчёт переноса 16.07; 29 прямо порученных переносов</x:v>
      </x:c>
      <x:c r="F16" s="127" t="str">
        <x:v>Перенос доказан; домен также присутствует в свежем form/site QA</x:v>
      </x:c>
      <x:c r="G16" s="127" t="str">
        <x:v>Сохранить current evidence и не смешивать с доставкой форм</x:v>
      </x:c>
      <x:c r="H16" s="127" t="str">
        <x:v>ПЕРЕНЕСЁН</x:v>
      </x:c>
      <x:c r="I16" s="127" t="str">
        <x:v>Gmail 19ec5aff809fe031; отчёт 16.07</x:v>
      </x:c>
    </x:row>
    <x:row r="17" ht="75.5999984741211" hidden="0" customHeight="1">
      <x:c r="A17" s="127" t="n">
        <x:v>13</x:v>
      </x:c>
      <x:c r="B17" s="127" t="str">
        <x:v>med-license.ru</x:v>
      </x:c>
      <x:c r="C17" s="127" t="str">
        <x:v>Поручен — перенесён</x:v>
      </x:c>
      <x:c r="D17" s="127" t="str">
        <x:v>Первый список клиента</x:v>
      </x:c>
      <x:c r="E17" s="127" t="str">
        <x:v>Включён в отчёт переноса 16.07; 29 прямо порученных переносов</x:v>
      </x:c>
      <x:c r="F17" s="127" t="str">
        <x:v>Перенос доказан; домен также присутствует в свежем form/site QA</x:v>
      </x:c>
      <x:c r="G17" s="127" t="str">
        <x:v>Сохранить current evidence и не смешивать с доставкой форм</x:v>
      </x:c>
      <x:c r="H17" s="127" t="str">
        <x:v>ПЕРЕНЕСЁН</x:v>
      </x:c>
      <x:c r="I17" s="127" t="str">
        <x:v>Gmail 19ec5aff809fe031; отчёт 16.07</x:v>
      </x:c>
    </x:row>
    <x:row r="18" ht="75.5999984741211" hidden="0" customHeight="1">
      <x:c r="A18" s="127" t="n">
        <x:v>14</x:v>
      </x:c>
      <x:c r="B18" s="127" t="str">
        <x:v>mhsl.ru</x:v>
      </x:c>
      <x:c r="C18" s="127" t="str">
        <x:v>Поручен — перенесён</x:v>
      </x:c>
      <x:c r="D18" s="127" t="str">
        <x:v>Первый список клиента</x:v>
      </x:c>
      <x:c r="E18" s="127" t="str">
        <x:v>Включён в отчёт переноса 16.07; 29 прямо порученных переносов</x:v>
      </x:c>
      <x:c r="F18" s="127" t="str">
        <x:v>Перенос доказан; домен также присутствует в свежем form/site QA</x:v>
      </x:c>
      <x:c r="G18" s="127" t="str">
        <x:v>Сохранить current evidence и не смешивать с доставкой форм</x:v>
      </x:c>
      <x:c r="H18" s="127" t="str">
        <x:v>ПЕРЕНЕСЁН</x:v>
      </x:c>
      <x:c r="I18" s="127" t="str">
        <x:v>Gmail 19ec5aff809fe031; отчёт 16.07</x:v>
      </x:c>
    </x:row>
    <x:row r="19" ht="75.5999984741211" hidden="0" customHeight="1">
      <x:c r="A19" s="127" t="n">
        <x:v>15</x:v>
      </x:c>
      <x:c r="B19" s="127" t="str">
        <x:v>moopb.ru</x:v>
      </x:c>
      <x:c r="C19" s="127" t="str">
        <x:v>Поручен — перенесён</x:v>
      </x:c>
      <x:c r="D19" s="127" t="str">
        <x:v>Первый список клиента</x:v>
      </x:c>
      <x:c r="E19" s="127" t="str">
        <x:v>Включён в отчёт переноса 16.07; 29 прямо порученных переносов</x:v>
      </x:c>
      <x:c r="F19" s="127" t="str">
        <x:v>Перенос доказан исторически; свежий live QA отсутствует</x:v>
      </x:c>
      <x:c r="G19" s="127" t="str">
        <x:v>Свежий HTTP/TLS/DNS/mail QA</x:v>
      </x:c>
      <x:c r="H19" s="127" t="str">
        <x:v>НУЖЕН QA</x:v>
      </x:c>
      <x:c r="I19" s="127" t="str">
        <x:v>Gmail 19ec5aff809fe031; отчёт 16.07</x:v>
      </x:c>
    </x:row>
    <x:row r="20" ht="75.5999984741211" hidden="0" customHeight="1">
      <x:c r="A20" s="127" t="n">
        <x:v>16</x:v>
      </x:c>
      <x:c r="B20" s="127" t="str">
        <x:v>otxodi.ru</x:v>
      </x:c>
      <x:c r="C20" s="127" t="str">
        <x:v>Поручен — перенесён</x:v>
      </x:c>
      <x:c r="D20" s="127" t="str">
        <x:v>Первый список клиента</x:v>
      </x:c>
      <x:c r="E20" s="127" t="str">
        <x:v>Включён в отчёт переноса 16.07; 29 прямо порученных переносов</x:v>
      </x:c>
      <x:c r="F20" s="127" t="str">
        <x:v>Перенос доказан; домен также присутствует в свежем form/site QA</x:v>
      </x:c>
      <x:c r="G20" s="127" t="str">
        <x:v>Сохранить current evidence и не смешивать с доставкой форм</x:v>
      </x:c>
      <x:c r="H20" s="127" t="str">
        <x:v>ПЕРЕНЕСЁН</x:v>
      </x:c>
      <x:c r="I20" s="127" t="str">
        <x:v>Gmail 19ec5aff809fe031; отчёт 16.07</x:v>
      </x:c>
    </x:row>
    <x:row r="21" ht="75.5999984741211" hidden="0" customHeight="1">
      <x:c r="A21" s="127" t="n">
        <x:v>17</x:v>
      </x:c>
      <x:c r="B21" s="127" t="str">
        <x:v>rectavr.ru</x:v>
      </x:c>
      <x:c r="C21" s="127" t="str">
        <x:v>Поручен — перенесён</x:v>
      </x:c>
      <x:c r="D21" s="127" t="str">
        <x:v>Первый список клиента</x:v>
      </x:c>
      <x:c r="E21" s="127" t="str">
        <x:v>Включён в отчёт переноса 16.07; 29 прямо порученных переносов</x:v>
      </x:c>
      <x:c r="F21" s="127" t="str">
        <x:v>Перенос доказан; домен также присутствует в свежем form/site QA</x:v>
      </x:c>
      <x:c r="G21" s="127" t="str">
        <x:v>Сохранить current evidence и не смешивать с доставкой форм</x:v>
      </x:c>
      <x:c r="H21" s="127" t="str">
        <x:v>ПЕРЕНЕСЁН</x:v>
      </x:c>
      <x:c r="I21" s="127" t="str">
        <x:v>Gmail 19ec5aff809fe031; отчёт 16.07</x:v>
      </x:c>
    </x:row>
    <x:row r="22" ht="75.5999984741211" hidden="0" customHeight="1">
      <x:c r="A22" s="127" t="n">
        <x:v>18</x:v>
      </x:c>
      <x:c r="B22" s="127" t="str">
        <x:v>shopap.ru</x:v>
      </x:c>
      <x:c r="C22" s="127" t="str">
        <x:v>Поручен — перенесён</x:v>
      </x:c>
      <x:c r="D22" s="127" t="str">
        <x:v>Первый список клиента</x:v>
      </x:c>
      <x:c r="E22" s="127" t="str">
        <x:v>Включён в отчёт переноса 16.07; 29 прямо порученных переносов</x:v>
      </x:c>
      <x:c r="F22" s="127" t="str">
        <x:v>Перенос доказан; домен также присутствует в свежем form/site QA</x:v>
      </x:c>
      <x:c r="G22" s="127" t="str">
        <x:v>Сохранить current evidence и не смешивать с доставкой форм</x:v>
      </x:c>
      <x:c r="H22" s="127" t="str">
        <x:v>ПЕРЕНЕСЁН</x:v>
      </x:c>
      <x:c r="I22" s="127" t="str">
        <x:v>Gmail 19ec5aff809fe031; отчёт 16.07</x:v>
      </x:c>
    </x:row>
    <x:row r="23" ht="75.5999984741211" hidden="0" customHeight="1">
      <x:c r="A23" s="127" t="n">
        <x:v>19</x:v>
      </x:c>
      <x:c r="B23" s="127" t="str">
        <x:v>apreal.spb.ru</x:v>
      </x:c>
      <x:c r="C23" s="127" t="str">
        <x:v>Поручен — перенесён</x:v>
      </x:c>
      <x:c r="D23" s="127" t="str">
        <x:v>Второй список клиента</x:v>
      </x:c>
      <x:c r="E23" s="127" t="str">
        <x:v>Включён в отчёт переноса 16.07; 29 прямо порученных переносов</x:v>
      </x:c>
      <x:c r="F23" s="127" t="str">
        <x:v>Перенос доказан; домен также присутствует в свежем form/site QA</x:v>
      </x:c>
      <x:c r="G23" s="127" t="str">
        <x:v>Сохранить current evidence и не смешивать с доставкой форм</x:v>
      </x:c>
      <x:c r="H23" s="127" t="str">
        <x:v>ПЕРЕНЕСЁН</x:v>
      </x:c>
      <x:c r="I23" s="127" t="str">
        <x:v>Gmail 19ef4b2392d8a125/19ef4b71efc4396a; отчёт 16.07</x:v>
      </x:c>
    </x:row>
    <x:row r="24" ht="75.5999984741211" hidden="0" customHeight="1">
      <x:c r="A24" s="127" t="n">
        <x:v>20</x:v>
      </x:c>
      <x:c r="B24" s="127" t="str">
        <x:v>fstek.spb.ru</x:v>
      </x:c>
      <x:c r="C24" s="127" t="str">
        <x:v>Поручен — перенесён</x:v>
      </x:c>
      <x:c r="D24" s="127" t="str">
        <x:v>Второй список клиента</x:v>
      </x:c>
      <x:c r="E24" s="127" t="str">
        <x:v>Включён в отчёт переноса 16.07; 29 прямо порученных переносов</x:v>
      </x:c>
      <x:c r="F24" s="127" t="str">
        <x:v>Перенос доказан; домен также присутствует в свежем form/site QA</x:v>
      </x:c>
      <x:c r="G24" s="127" t="str">
        <x:v>Сохранить current evidence и не смешивать с доставкой форм</x:v>
      </x:c>
      <x:c r="H24" s="127" t="str">
        <x:v>ПЕРЕНЕСЁН</x:v>
      </x:c>
      <x:c r="I24" s="127" t="str">
        <x:v>Gmail 19ef4b2392d8a125/19ef4b71efc4396a; отчёт 16.07</x:v>
      </x:c>
    </x:row>
    <x:row r="25" ht="75.5999984741211" hidden="0" customHeight="1">
      <x:c r="A25" s="127" t="n">
        <x:v>21</x:v>
      </x:c>
      <x:c r="B25" s="127" t="str">
        <x:v>medlic.spb.ru</x:v>
      </x:c>
      <x:c r="C25" s="127" t="str">
        <x:v>Поручен — перенесён</x:v>
      </x:c>
      <x:c r="D25" s="127" t="str">
        <x:v>Второй список клиента</x:v>
      </x:c>
      <x:c r="E25" s="127" t="str">
        <x:v>Включён в отчёт переноса 16.07; 29 прямо порученных переносов</x:v>
      </x:c>
      <x:c r="F25" s="127" t="str">
        <x:v>Перенос доказан; домен также присутствует в свежем form/site QA</x:v>
      </x:c>
      <x:c r="G25" s="127" t="str">
        <x:v>Сохранить current evidence и не смешивать с доставкой форм</x:v>
      </x:c>
      <x:c r="H25" s="127" t="str">
        <x:v>ПЕРЕНЕСЁН</x:v>
      </x:c>
      <x:c r="I25" s="127" t="str">
        <x:v>Gmail 19ef4b2392d8a125/19ef4b71efc4396a; отчёт 16.07</x:v>
      </x:c>
    </x:row>
    <x:row r="26" ht="75.5999984741211" hidden="0" customHeight="1">
      <x:c r="A26" s="127" t="n">
        <x:v>22</x:v>
      </x:c>
      <x:c r="B26" s="127" t="str">
        <x:v>electro-reg.ru</x:v>
      </x:c>
      <x:c r="C26" s="127" t="str">
        <x:v>Поручен — перенесён</x:v>
      </x:c>
      <x:c r="D26" s="127" t="str">
        <x:v>Второй список клиента</x:v>
      </x:c>
      <x:c r="E26" s="127" t="str">
        <x:v>Включён в отчёт переноса 16.07; 29 прямо порученных переносов</x:v>
      </x:c>
      <x:c r="F26" s="127" t="str">
        <x:v>Перенос доказан исторически; свежий live QA отсутствует</x:v>
      </x:c>
      <x:c r="G26" s="127" t="str">
        <x:v>Свежий HTTP/TLS/DNS/mail QA</x:v>
      </x:c>
      <x:c r="H26" s="127" t="str">
        <x:v>НУЖЕН QA</x:v>
      </x:c>
      <x:c r="I26" s="127" t="str">
        <x:v>Gmail 19ef4b2392d8a125/19ef4b71efc4396a; отчёт 16.07</x:v>
      </x:c>
    </x:row>
    <x:row r="27" ht="75.5999984741211" hidden="0" customHeight="1">
      <x:c r="A27" s="127" t="n">
        <x:v>23</x:v>
      </x:c>
      <x:c r="B27" s="127" t="str">
        <x:v>license39.ru</x:v>
      </x:c>
      <x:c r="C27" s="127" t="str">
        <x:v>Поручен — перенесён</x:v>
      </x:c>
      <x:c r="D27" s="127" t="str">
        <x:v>Второй список клиента</x:v>
      </x:c>
      <x:c r="E27" s="127" t="str">
        <x:v>Включён в отчёт переноса 16.07; 29 прямо порученных переносов</x:v>
      </x:c>
      <x:c r="F27" s="127" t="str">
        <x:v>Перенос доказан; домен также присутствует в свежем form/site QA</x:v>
      </x:c>
      <x:c r="G27" s="127" t="str">
        <x:v>Сохранить current evidence и не смешивать с доставкой форм</x:v>
      </x:c>
      <x:c r="H27" s="127" t="str">
        <x:v>ПЕРЕНЕСЁН</x:v>
      </x:c>
      <x:c r="I27" s="127" t="str">
        <x:v>Gmail 19ef4b2392d8a125/19ef4b71efc4396a; отчёт 16.07</x:v>
      </x:c>
    </x:row>
    <x:row r="28" ht="75.5999984741211" hidden="0" customHeight="1">
      <x:c r="A28" s="127" t="n">
        <x:v>24</x:v>
      </x:c>
      <x:c r="B28" s="127" t="str">
        <x:v>mchs78.ru</x:v>
      </x:c>
      <x:c r="C28" s="127" t="str">
        <x:v>Поручен — перенесён</x:v>
      </x:c>
      <x:c r="D28" s="127" t="str">
        <x:v>Второй список клиента</x:v>
      </x:c>
      <x:c r="E28" s="127" t="str">
        <x:v>Включён в отчёт переноса 16.07; 29 прямо порученных переносов</x:v>
      </x:c>
      <x:c r="F28" s="127" t="str">
        <x:v>Перенос доказан; домен также присутствует в свежем form/site QA</x:v>
      </x:c>
      <x:c r="G28" s="127" t="str">
        <x:v>Сохранить current evidence и не смешивать с доставкой форм</x:v>
      </x:c>
      <x:c r="H28" s="127" t="str">
        <x:v>ПЕРЕНЕСЁН</x:v>
      </x:c>
      <x:c r="I28" s="127" t="str">
        <x:v>Gmail 19ef4b2392d8a125/19ef4b71efc4396a; отчёт 16.07</x:v>
      </x:c>
    </x:row>
    <x:row r="29" ht="75.5999984741211" hidden="0" customHeight="1">
      <x:c r="A29" s="127" t="n">
        <x:v>25</x:v>
      </x:c>
      <x:c r="B29" s="127" t="str">
        <x:v>medtex39.ru</x:v>
      </x:c>
      <x:c r="C29" s="127" t="str">
        <x:v>Поручен — перенесён</x:v>
      </x:c>
      <x:c r="D29" s="127" t="str">
        <x:v>Второй список клиента</x:v>
      </x:c>
      <x:c r="E29" s="127" t="str">
        <x:v>Включён в отчёт переноса 16.07; 29 прямо порученных переносов</x:v>
      </x:c>
      <x:c r="F29" s="127" t="str">
        <x:v>Перенос доказан; домен также присутствует в свежем form/site QA</x:v>
      </x:c>
      <x:c r="G29" s="127" t="str">
        <x:v>Сохранить current evidence и не смешивать с доставкой форм</x:v>
      </x:c>
      <x:c r="H29" s="127" t="str">
        <x:v>ПЕРЕНЕСЁН</x:v>
      </x:c>
      <x:c r="I29" s="127" t="str">
        <x:v>Gmail 19ef4b2392d8a125/19ef4b71efc4396a; отчёт 16.07</x:v>
      </x:c>
    </x:row>
    <x:row r="30" ht="75.5999984741211" hidden="0" customHeight="1">
      <x:c r="A30" s="127" t="n">
        <x:v>26</x:v>
      </x:c>
      <x:c r="B30" s="127" t="str">
        <x:v>medtex78.ru</x:v>
      </x:c>
      <x:c r="C30" s="127" t="str">
        <x:v>Поручен — перенесён</x:v>
      </x:c>
      <x:c r="D30" s="127" t="str">
        <x:v>Второй список клиента</x:v>
      </x:c>
      <x:c r="E30" s="127" t="str">
        <x:v>Включён в отчёт переноса 16.07; 29 прямо порученных переносов</x:v>
      </x:c>
      <x:c r="F30" s="127" t="str">
        <x:v>Перенос доказан; домен также присутствует в свежем form/site QA</x:v>
      </x:c>
      <x:c r="G30" s="127" t="str">
        <x:v>Сохранить current evidence и не смешивать с доставкой форм</x:v>
      </x:c>
      <x:c r="H30" s="127" t="str">
        <x:v>ПЕРЕНЕСЁН</x:v>
      </x:c>
      <x:c r="I30" s="127" t="str">
        <x:v>Gmail 19ef4b2392d8a125/19ef4b71efc4396a; отчёт 16.07</x:v>
      </x:c>
    </x:row>
    <x:row r="31" ht="75.5999984741211" hidden="0" customHeight="1">
      <x:c r="A31" s="127" t="n">
        <x:v>27</x:v>
      </x:c>
      <x:c r="B31" s="127" t="str">
        <x:v>minkult78.ru</x:v>
      </x:c>
      <x:c r="C31" s="127" t="str">
        <x:v>Поручен — перенесён</x:v>
      </x:c>
      <x:c r="D31" s="127" t="str">
        <x:v>Второй список клиента</x:v>
      </x:c>
      <x:c r="E31" s="127" t="str">
        <x:v>Включён в отчёт переноса 16.07; 29 прямо порученных переносов</x:v>
      </x:c>
      <x:c r="F31" s="127" t="str">
        <x:v>Перенос доказан; домен также присутствует в свежем form/site QA</x:v>
      </x:c>
      <x:c r="G31" s="127" t="str">
        <x:v>Сохранить current evidence и не смешивать с доставкой форм</x:v>
      </x:c>
      <x:c r="H31" s="127" t="str">
        <x:v>ПЕРЕНЕСЁН</x:v>
      </x:c>
      <x:c r="I31" s="127" t="str">
        <x:v>Gmail 19ef4b2392d8a125/19ef4b71efc4396a; отчёт 16.07</x:v>
      </x:c>
    </x:row>
    <x:row r="32" ht="75.5999984741211" hidden="0" customHeight="1">
      <x:c r="A32" s="127" t="n">
        <x:v>28</x:v>
      </x:c>
      <x:c r="B32" s="127" t="str">
        <x:v>othodi-spb.ru</x:v>
      </x:c>
      <x:c r="C32" s="127" t="str">
        <x:v>Поручен — перенесён</x:v>
      </x:c>
      <x:c r="D32" s="127" t="str">
        <x:v>Второй список клиента</x:v>
      </x:c>
      <x:c r="E32" s="127" t="str">
        <x:v>Включён в отчёт переноса 16.07; 29 прямо порученных переносов</x:v>
      </x:c>
      <x:c r="F32" s="127" t="str">
        <x:v>Перенос доказан исторически; свежий live QA отсутствует</x:v>
      </x:c>
      <x:c r="G32" s="127" t="str">
        <x:v>Свежий HTTP/TLS/DNS/mail QA</x:v>
      </x:c>
      <x:c r="H32" s="127" t="str">
        <x:v>НУЖЕН QA</x:v>
      </x:c>
      <x:c r="I32" s="127" t="str">
        <x:v>Gmail 19ef4b2392d8a125/19ef4b71efc4396a; отчёт 16.07</x:v>
      </x:c>
    </x:row>
    <x:row r="33" ht="75.5999984741211" hidden="0" customHeight="1">
      <x:c r="A33" s="127" t="n">
        <x:v>29</x:v>
      </x:c>
      <x:c r="B33" s="127" t="str">
        <x:v>mchs-spb.ru</x:v>
      </x:c>
      <x:c r="C33" s="127" t="str">
        <x:v>Поручен — перенесён</x:v>
      </x:c>
      <x:c r="D33" s="127" t="str">
        <x:v>Второй список клиента</x:v>
      </x:c>
      <x:c r="E33" s="127" t="str">
        <x:v>Включён в отчёт переноса 16.07; 29 прямо порученных переносов</x:v>
      </x:c>
      <x:c r="F33" s="127" t="str">
        <x:v>Перенос доказан; домен также присутствует в свежем form/site QA</x:v>
      </x:c>
      <x:c r="G33" s="127" t="str">
        <x:v>Сохранить current evidence и не смешивать с доставкой форм</x:v>
      </x:c>
      <x:c r="H33" s="127" t="str">
        <x:v>ПЕРЕНЕСЁН</x:v>
      </x:c>
      <x:c r="I33" s="127" t="str">
        <x:v>Gmail 19ef4b2392d8a125/19ef4b71efc4396a; отчёт 16.07</x:v>
      </x:c>
    </x:row>
    <x:row r="34" ht="86.4000015258789" hidden="0" customHeight="1">
      <x:c r="A34" s="127" t="n">
        <x:v>30</x:v>
      </x:c>
      <x:c r="B34" s="127" t="str">
        <x:v>dpocenter.ru</x:v>
      </x:c>
      <x:c r="C34" s="127" t="str">
        <x:v>Поручен — заблокирован</x:v>
      </x:c>
      <x:c r="D34" s="127" t="str">
        <x:v>Первый список клиента</x:v>
      </x:c>
      <x:c r="E34" s="127" t="str">
        <x:v>Не завершён: отсутствовал достаточный источник/доступ</x:v>
      </x:c>
      <x:c r="F34" s="127" t="str">
        <x:v>Перенос не доказан</x:v>
      </x:c>
      <x:c r="G34" s="127" t="str">
        <x:v>Получить источник/доступ и выполнить полный перенос</x:v>
      </x:c>
      <x:c r="H34" s="127" t="str">
        <x:v>БЛОКИРОВАНО</x:v>
      </x:c>
      <x:c r="I34" s="127" t="str">
        <x:v>Gmail 19ec5aff809fe031; отчёт 16.07</x:v>
      </x:c>
    </x:row>
    <x:row r="35" ht="86.4000015258789" hidden="0" customHeight="1">
      <x:c r="A35" s="127" t="n">
        <x:v>31</x:v>
      </x:c>
      <x:c r="B35" s="127" t="str">
        <x:v>feo-edem.ru</x:v>
      </x:c>
      <x:c r="C35" s="127" t="str">
        <x:v>Поручен — заблокирован</x:v>
      </x:c>
      <x:c r="D35" s="127" t="str">
        <x:v>Первый список клиента</x:v>
      </x:c>
      <x:c r="E35" s="127" t="str">
        <x:v>Не завершён: отсутствовал достаточный источник/доступ</x:v>
      </x:c>
      <x:c r="F35" s="127" t="str">
        <x:v>Перенос не доказан</x:v>
      </x:c>
      <x:c r="G35" s="127" t="str">
        <x:v>Получить источник/доступ и выполнить полный перенос</x:v>
      </x:c>
      <x:c r="H35" s="127" t="str">
        <x:v>БЛОКИРОВАНО</x:v>
      </x:c>
      <x:c r="I35" s="127" t="str">
        <x:v>Gmail 19ec5aff809fe031; отчёт 16.07</x:v>
      </x:c>
    </x:row>
    <x:row r="36" ht="86.4000015258789" hidden="0" customHeight="1">
      <x:c r="A36" s="127" t="n">
        <x:v>32</x:v>
      </x:c>
      <x:c r="B36" s="127" t="str">
        <x:v>linkedin.com.moopb.ru</x:v>
      </x:c>
      <x:c r="C36" s="127" t="str">
        <x:v>Поручен — заблокирован</x:v>
      </x:c>
      <x:c r="D36" s="127" t="str">
        <x:v>Первый список клиента</x:v>
      </x:c>
      <x:c r="E36" s="127" t="str">
        <x:v>Не завершён: отсутствовал достаточный источник/доступ</x:v>
      </x:c>
      <x:c r="F36" s="127" t="str">
        <x:v>Перенос не доказан</x:v>
      </x:c>
      <x:c r="G36" s="127" t="str">
        <x:v>Уточнить технический объект и источник; выполнить или формально исключить</x:v>
      </x:c>
      <x:c r="H36" s="127" t="str">
        <x:v>БЛОКИРОВАНО</x:v>
      </x:c>
      <x:c r="I36" s="127" t="str">
        <x:v>Gmail 19ec5aff809fe031; отчёт 16.07</x:v>
      </x:c>
    </x:row>
    <x:row r="37" ht="86.4000015258789" hidden="0" customHeight="1">
      <x:c r="A37" s="127" t="n">
        <x:v>33</x:v>
      </x:c>
      <x:c r="B37" s="127" t="str">
        <x:v>mchs-vrn.ru</x:v>
      </x:c>
      <x:c r="C37" s="127" t="str">
        <x:v>Поручен — заблокирован</x:v>
      </x:c>
      <x:c r="D37" s="127" t="str">
        <x:v>Первый список клиента</x:v>
      </x:c>
      <x:c r="E37" s="127" t="str">
        <x:v>Не завершён: отсутствовал достаточный источник/доступ</x:v>
      </x:c>
      <x:c r="F37" s="127" t="str">
        <x:v>Перенос не доказан</x:v>
      </x:c>
      <x:c r="G37" s="127" t="str">
        <x:v>Получить источник/доступ и выполнить полный перенос</x:v>
      </x:c>
      <x:c r="H37" s="127" t="str">
        <x:v>БЛОКИРОВАНО</x:v>
      </x:c>
      <x:c r="I37" s="127" t="str">
        <x:v>Gmail 19ec5aff809fe031; отчёт 16.07</x:v>
      </x:c>
    </x:row>
    <x:row r="38" ht="54" hidden="0" customHeight="1">
      <x:c r="A38" s="127" t="n">
        <x:v>34</x:v>
      </x:c>
      <x:c r="B38" s="127" t="str">
        <x:v>aklab-spb.ru</x:v>
      </x:c>
      <x:c r="C38" s="127" t="str">
        <x:v>Поручен — заблокирован</x:v>
      </x:c>
      <x:c r="D38" s="127" t="str">
        <x:v>Второй список клиента</x:v>
      </x:c>
      <x:c r="E38" s="127" t="str">
        <x:v>NXDOMAIN/нет источника</x:v>
      </x:c>
      <x:c r="F38" s="127" t="str">
        <x:v>Перенос не доказан</x:v>
      </x:c>
      <x:c r="G38" s="127" t="str">
        <x:v>Разрешить DNS/source blocker или формально исключить</x:v>
      </x:c>
      <x:c r="H38" s="127" t="str">
        <x:v>БЛОКИРОВАНО</x:v>
      </x:c>
      <x:c r="I38" s="127" t="str">
        <x:v>Gmail 19ef4b2392d8a125; отчёт 16.07</x:v>
      </x:c>
    </x:row>
    <x:row r="39" ht="118.80000305175781" hidden="0" customHeight="1">
      <x:c r="A39" s="127" t="n">
        <x:v>35</x:v>
      </x:c>
      <x:c r="B39" s="127" t="str">
        <x:v>elektro.spb.ru</x:v>
      </x:c>
      <x:c r="C39" s="127" t="str">
        <x:v>Поручен — конфликт scope</x:v>
      </x:c>
      <x:c r="D39" s="127" t="str">
        <x:v>Второй список клиента</x:v>
      </x:c>
      <x:c r="E39" s="127" t="str">
        <x:v>В поручении клиента есть; локально объявлен «не нужен» без найденного подтверждения</x:v>
      </x:c>
      <x:c r="F39" s="127" t="str">
        <x:v>Не перенесён либо перенос не доказан</x:v>
      </x:c>
      <x:c r="G39" s="127" t="str">
        <x:v>Получить решение владельца по восстановленному первичному поручению</x:v>
      </x:c>
      <x:c r="H39" s="127" t="str">
        <x:v>ПРОТИВОРЕЧИЕ</x:v>
      </x:c>
      <x:c r="I39" s="127" t="str">
        <x:v>Gmail 19ef4b2392d8a125/19ef4b71efc4396a</x:v>
      </x:c>
    </x:row>
    <x:row r="40" ht="75.5999984741211" hidden="0" customHeight="1">
      <x:c r="A40" s="127" t="n">
        <x:v>36</x:v>
      </x:c>
      <x:c r="B40" s="127" t="str">
        <x:v>39mchs.ru</x:v>
      </x:c>
      <x:c r="C40" s="127" t="str">
        <x:v>Перенесён — источник поручения не найден</x:v>
      </x:c>
      <x:c r="D40" s="127" t="str">
        <x:v>Фигурирует в отчёте/счёте</x:v>
      </x:c>
      <x:c r="E40" s="127" t="str">
        <x:v>Перенос выполнен и домен входит в form QA</x:v>
      </x:c>
      <x:c r="F40" s="127" t="str">
        <x:v>Технически присутствует, но авторизация переноса не доказана</x:v>
      </x:c>
      <x:c r="G40" s="127" t="str">
        <x:v>Зафиксировать основание объёма; не считать одним из 29 порученных</x:v>
      </x:c>
      <x:c r="H40" s="127" t="str">
        <x:v>НЕЯСНЫЙ SCOPE</x:v>
      </x:c>
      <x:c r="I40" s="127" t="str">
        <x:v>Отчёт 16.07; локальные документы</x:v>
      </x:c>
    </x:row>
    <x:row r="41" ht="32.400001525878906" hidden="0" customHeight="1">
      <x:c r="A41" s="127" t="n">
        <x:v>37</x:v>
      </x:c>
      <x:c r="B41" s="127" t="str">
        <x:v>dpomuc.ru</x:v>
      </x:c>
      <x:c r="C41" s="127" t="str">
        <x:v>Уже на Beget</x:v>
      </x:c>
      <x:c r="D41" s="127" t="str">
        <x:v>Список клиента</x:v>
      </x:c>
      <x:c r="E41" s="127" t="str">
        <x:v>Перенос не требовался</x:v>
      </x:c>
      <x:c r="F41" s="127" t="str">
        <x:v>Присутствует в текущем form QA</x:v>
      </x:c>
      <x:c r="G41" s="127" t="str">
        <x:v>Ничего по переносу</x:v>
      </x:c>
      <x:c r="H41" s="127" t="str">
        <x:v>УЖЕ НА BEGET</x:v>
      </x:c>
      <x:c r="I41" s="127" t="str">
        <x:v>Gmail migration threads</x:v>
      </x:c>
    </x:row>
    <x:row r="42" ht="43.20000076293945" hidden="0" customHeight="1">
      <x:c r="A42" s="127" t="n">
        <x:v>38</x:v>
      </x:c>
      <x:c r="B42" s="127" t="str">
        <x:v>ed-crimea.ru</x:v>
      </x:c>
      <x:c r="C42" s="127" t="str">
        <x:v>Уже на Beget</x:v>
      </x:c>
      <x:c r="D42" s="127" t="str">
        <x:v>Список клиента</x:v>
      </x:c>
      <x:c r="E42" s="127" t="str">
        <x:v>Перенос не требовался</x:v>
      </x:c>
      <x:c r="F42" s="127" t="str">
        <x:v>Свежий QA в form-пакет не входил</x:v>
      </x:c>
      <x:c r="G42" s="127" t="str">
        <x:v>При необходимости свежий site QA</x:v>
      </x:c>
      <x:c r="H42" s="127" t="str">
        <x:v>УЖЕ НА BEGET</x:v>
      </x:c>
      <x:c r="I42" s="127" t="str">
        <x:v>Gmail migration threads</x:v>
      </x:c>
    </x:row>
    <x:row r="43" ht="32.400001525878906" hidden="0" customHeight="1">
      <x:c r="A43" s="127" t="n">
        <x:v>39</x:v>
      </x:c>
      <x:c r="B43" s="127" t="str">
        <x:v>nousro-spb.ru</x:v>
      </x:c>
      <x:c r="C43" s="127" t="str">
        <x:v>Уже на Beget</x:v>
      </x:c>
      <x:c r="D43" s="127" t="str">
        <x:v>Список клиента</x:v>
      </x:c>
      <x:c r="E43" s="127" t="str">
        <x:v>Перенос не требовался</x:v>
      </x:c>
      <x:c r="F43" s="127" t="str">
        <x:v>Присутствует в текущем form QA</x:v>
      </x:c>
      <x:c r="G43" s="127" t="str">
        <x:v>Ничего по переносу</x:v>
      </x:c>
      <x:c r="H43" s="127" t="str">
        <x:v>УЖЕ НА BEGET</x:v>
      </x:c>
      <x:c r="I43" s="127" t="str">
        <x:v>Gmail migration threads</x:v>
      </x:c>
    </x:row>
    <x:row r="44" ht="32.400001525878906" hidden="0" customHeight="1">
      <x:c r="A44" s="127" t="n">
        <x:v>40</x:v>
      </x:c>
      <x:c r="B44" s="127" t="str">
        <x:v>nousro.ru</x:v>
      </x:c>
      <x:c r="C44" s="127" t="str">
        <x:v>Уже на Beget</x:v>
      </x:c>
      <x:c r="D44" s="127" t="str">
        <x:v>Список клиента</x:v>
      </x:c>
      <x:c r="E44" s="127" t="str">
        <x:v>Перенос не требовался</x:v>
      </x:c>
      <x:c r="F44" s="127" t="str">
        <x:v>Присутствует в текущем form QA</x:v>
      </x:c>
      <x:c r="G44" s="127" t="str">
        <x:v>Ничего по переносу</x:v>
      </x:c>
      <x:c r="H44" s="127" t="str">
        <x:v>УЖЕ НА BEGET</x:v>
      </x:c>
      <x:c r="I44" s="127" t="str">
        <x:v>Gmail migration threads</x:v>
      </x:c>
    </x:row>
    <x:row r="45" ht="32.400001525878906" hidden="0" customHeight="1">
      <x:c r="A45" s="127" t="n">
        <x:v>41</x:v>
      </x:c>
      <x:c r="B45" s="127" t="str">
        <x:v>nousro-nn.ru</x:v>
      </x:c>
      <x:c r="C45" s="127" t="str">
        <x:v>Уже на Beget</x:v>
      </x:c>
      <x:c r="D45" s="127" t="str">
        <x:v>Список клиента</x:v>
      </x:c>
      <x:c r="E45" s="127" t="str">
        <x:v>Перенос не требовался</x:v>
      </x:c>
      <x:c r="F45" s="127" t="str">
        <x:v>Присутствует в текущем form QA</x:v>
      </x:c>
      <x:c r="G45" s="127" t="str">
        <x:v>Ничего по переносу</x:v>
      </x:c>
      <x:c r="H45" s="127" t="str">
        <x:v>УЖЕ НА BEGET</x:v>
      </x:c>
      <x:c r="I45" s="127" t="str">
        <x:v>Gmail migration threads</x:v>
      </x:c>
    </x:row>
    <x:row r="46" ht="32.400001525878906" hidden="0" customHeight="1">
      <x:c r="A46" s="127" t="n">
        <x:v>42</x:v>
      </x:c>
      <x:c r="B46" s="127" t="str">
        <x:v>muc-vrn.ru</x:v>
      </x:c>
      <x:c r="C46" s="127" t="str">
        <x:v>Уже на Beget</x:v>
      </x:c>
      <x:c r="D46" s="127" t="str">
        <x:v>Список клиента</x:v>
      </x:c>
      <x:c r="E46" s="127" t="str">
        <x:v>Перенос не требовался</x:v>
      </x:c>
      <x:c r="F46" s="127" t="str">
        <x:v>Присутствует в текущем form QA</x:v>
      </x:c>
      <x:c r="G46" s="127" t="str">
        <x:v>Ничего по переносу</x:v>
      </x:c>
      <x:c r="H46" s="127" t="str">
        <x:v>УЖЕ НА BEGET</x:v>
      </x:c>
      <x:c r="I46" s="127" t="str">
        <x:v>Gmail migration threads</x:v>
      </x:c>
    </x:row>
    <x:row r="47" ht="32.400001525878906" hidden="0" customHeight="1">
      <x:c r="A47" s="127" t="n">
        <x:v>43</x:v>
      </x:c>
      <x:c r="B47" s="127" t="str">
        <x:v>ed-kgd.ru</x:v>
      </x:c>
      <x:c r="C47" s="127" t="str">
        <x:v>Уже на Beget</x:v>
      </x:c>
      <x:c r="D47" s="127" t="str">
        <x:v>Список клиента</x:v>
      </x:c>
      <x:c r="E47" s="127" t="str">
        <x:v>Перенос не требовался</x:v>
      </x:c>
      <x:c r="F47" s="127" t="str">
        <x:v>Присутствует в текущем form QA</x:v>
      </x:c>
      <x:c r="G47" s="127" t="str">
        <x:v>Ничего по переносу</x:v>
      </x:c>
      <x:c r="H47" s="127" t="str">
        <x:v>УЖЕ НА BEGET</x:v>
      </x:c>
      <x:c r="I47" s="127" t="str">
        <x:v>Gmail migration threads</x:v>
      </x:c>
    </x:row>
    <x:row r="48" ht="43.20000076293945" hidden="0" customHeight="1">
      <x:c r="A48" s="127" t="n">
        <x:v>44</x:v>
      </x:c>
      <x:c r="B48" s="127" t="str">
        <x:v>apkonsalt.ru</x:v>
      </x:c>
      <x:c r="C48" s="127" t="str">
        <x:v>Исключён клиентом</x:v>
      </x:c>
      <x:c r="D48" s="127" t="str">
        <x:v>Прямое исключение</x:v>
      </x:c>
      <x:c r="E48" s="127" t="str">
        <x:v>Не переносить</x:v>
      </x:c>
      <x:c r="F48" s="127" t="str">
        <x:v>Исключение учтено</x:v>
      </x:c>
      <x:c r="G48" s="127" t="str">
        <x:v>Не включать в массовые действия</x:v>
      </x:c>
      <x:c r="H48" s="127" t="str">
        <x:v>ИСКЛЮЧЕНО</x:v>
      </x:c>
      <x:c r="I48" s="127" t="str">
        <x:v>Gmail migration threads</x:v>
      </x:c>
    </x:row>
    <x:row r="49" ht="54" hidden="0" customHeight="1">
      <x:c r="A49" s="127" t="n">
        <x:v>45</x:v>
      </x:c>
      <x:c r="B49" s="127" t="str">
        <x:v>apreal-samara.ru</x:v>
      </x:c>
      <x:c r="C49" s="127" t="str">
        <x:v>Исключён клиентом</x:v>
      </x:c>
      <x:c r="D49" s="127" t="str">
        <x:v>Прямое исключение</x:v>
      </x:c>
      <x:c r="E49" s="127" t="str">
        <x:v>Не переносить</x:v>
      </x:c>
      <x:c r="F49" s="127" t="str">
        <x:v>Исключение учтено; сейчас DNS fail</x:v>
      </x:c>
      <x:c r="G49" s="127" t="str">
        <x:v>Отдельная задача только по новому решению</x:v>
      </x:c>
      <x:c r="H49" s="127" t="str">
        <x:v>ИСКЛЮЧЕНО</x:v>
      </x:c>
      <x:c r="I49" s="127" t="str">
        <x:v>Gmail migration threads; QA 31.07</x:v>
      </x:c>
    </x:row>
    <x:row r="50" ht="43.20000076293945" hidden="0" customHeight="1">
      <x:c r="A50" s="127" t="n">
        <x:v>46</x:v>
      </x:c>
      <x:c r="B50" s="127" t="str">
        <x:v>attox.ru</x:v>
      </x:c>
      <x:c r="C50" s="127" t="str">
        <x:v>Исключён клиентом</x:v>
      </x:c>
      <x:c r="D50" s="127" t="str">
        <x:v>Прямое исключение</x:v>
      </x:c>
      <x:c r="E50" s="127" t="str">
        <x:v>Не переносить</x:v>
      </x:c>
      <x:c r="F50" s="127" t="str">
        <x:v>Исключение учтено</x:v>
      </x:c>
      <x:c r="G50" s="127" t="str">
        <x:v>Не включать в массовые действия</x:v>
      </x:c>
      <x:c r="H50" s="127" t="str">
        <x:v>ИСКЛЮЧЕНО</x:v>
      </x:c>
      <x:c r="I50" s="127" t="str">
        <x:v>Gmail migration threads</x:v>
      </x:c>
    </x:row>
    <x:row r="51" ht="43.20000076293945" hidden="0" customHeight="1">
      <x:c r="A51" s="127" t="n">
        <x:v>47</x:v>
      </x:c>
      <x:c r="B51" s="127" t="str">
        <x:v>feo.taxi</x:v>
      </x:c>
      <x:c r="C51" s="127" t="str">
        <x:v>Исключён клиентом</x:v>
      </x:c>
      <x:c r="D51" s="127" t="str">
        <x:v>Прямое исключение</x:v>
      </x:c>
      <x:c r="E51" s="127" t="str">
        <x:v>Не переносить</x:v>
      </x:c>
      <x:c r="F51" s="127" t="str">
        <x:v>Исключение учтено</x:v>
      </x:c>
      <x:c r="G51" s="127" t="str">
        <x:v>Не включать в массовые действия</x:v>
      </x:c>
      <x:c r="H51" s="127" t="str">
        <x:v>ИСКЛЮЧЕНО</x:v>
      </x:c>
      <x:c r="I51" s="127" t="str">
        <x:v>Gmail migration threads</x:v>
      </x:c>
    </x:row>
    <x:row r="52" ht="64.80000305175781" hidden="0" customHeight="1">
      <x:c r="A52" s="128" t="n">
        <x:v>48</x:v>
      </x:c>
      <x:c r="B52" s="128" t="str">
        <x:v>ohrana-truda.nousro.ru</x:v>
      </x:c>
      <x:c r="C52" s="128" t="str">
        <x:v>Отдельное восстановление</x:v>
      </x:c>
      <x:c r="D52" s="128" t="str">
        <x:v>Отдельное поручение</x:v>
      </x:c>
      <x:c r="E52" s="128" t="str">
        <x:v>Восстановлено 58 файлов; 7 страниц HTTP 200 на 16.07</x:v>
      </x:c>
      <x:c r="F52" s="128" t="str">
        <x:v>Историческое доказательство есть</x:v>
      </x:c>
      <x:c r="G52" s="128" t="str">
        <x:v>Свежий HTTP/TLS/visual QA, если входит в текущую приёмку</x:v>
      </x:c>
      <x:c r="H52" s="128" t="str">
        <x:v>НУЖЕН QA</x:v>
      </x:c>
      <x:c r="I52" s="128" t="str">
        <x:v>Gmail 19ef4b8ea62c2dee; отчёт 16.07</x:v>
      </x:c>
    </x:row>
  </x:sheetData>
  <x:mergeCells>
    <x:mergeCell ref="A1:I1"/>
    <x:mergeCell ref="A2:I2"/>
  </x:mergeCells>
  <x:conditionalFormatting sqref="H5:H52">
    <x:cfRule type="containsText" dxfId="8" priority="1" operator="containsText" text="ГОТОВО"/>
    <x:cfRule type="containsText" dxfId="9" priority="2" operator="containsText" text="ПЕРЕНЕСЁН"/>
    <x:cfRule type="containsText" dxfId="10" priority="3" operator="containsText" text="ЧАСТИЧНО"/>
    <x:cfRule type="containsText" dxfId="11" priority="4" operator="containsText" text="НУЖЕН QA"/>
    <x:cfRule type="containsText" dxfId="12" priority="5" operator="containsText" text="БЛОКИРОВАНО"/>
    <x:cfRule type="containsText" dxfId="13" priority="6" operator="containsText" text="ПРОТИВОРЕЧИЕ"/>
    <x:cfRule type="containsText" dxfId="14" priority="7" operator="containsText" text="НЕЯСНЫЙ"/>
    <x:cfRule type="containsText" dxfId="15" priority="8" operator="containsText" text="ИСКЛЮЧЕНО"/>
  </x:conditionalFormatting>
  <x:dataValidations count="1">
    <x:dataValidation type="list" sqref="H5:H52">
      <x:formula1>"ПЕРЕНЕСЁН,НУЖЕН QA,БЛОКИРОВАНО,ПРОТИВОРЕЧИЕ,НЕЯСНЫЙ SCOPE,УЖЕ НА BEGET,ИСКЛЮЧЕНО"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21e755cf3f45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48" hidden="0" customWidth="1"/>
    <x:col min="5" max="5" width="42" hidden="0" customWidth="1"/>
    <x:col min="6" max="6" width="22" hidden="0" customWidth="1"/>
    <x:col min="7" max="7" width="42" hidden="0" customWidth="1"/>
  </x:cols>
  <x:sheetData>
    <x:row r="1" ht="30" customHeight="1">
      <x:c r="A1" s="112" t="str">
        <x:v>Задачи вне общей матрицы форм</x:v>
      </x:c>
    </x:row>
    <x:row r="2" ht="34" customHeight="1">
      <x:c r="A2" s="114" t="str">
        <x:v>Эти работы учитываются отдельно и не должны использоваться для ложного закрытия form-портфеля.</x:v>
      </x:c>
    </x:row>
    <x:row r="4" ht="38" customHeight="1">
      <x:c r="A4" s="123" t="str">
        <x:v>ID</x:v>
      </x:c>
      <x:c r="B4" s="124" t="str">
        <x:v>Объект</x:v>
      </x:c>
      <x:c r="C4" s="124" t="str">
        <x:v>Тип</x:v>
      </x:c>
      <x:c r="D4" s="124" t="str">
        <x:v>Фактический статус</x:v>
      </x:c>
      <x:c r="E4" s="124" t="str">
        <x:v>Остаток</x:v>
      </x:c>
      <x:c r="F4" s="124" t="str">
        <x:v>Статус</x:v>
      </x:c>
      <x:c r="G4" s="125" t="str">
        <x:v>Источник</x:v>
      </x:c>
    </x:row>
    <x:row r="5" ht="97.19999694824219" hidden="0" customHeight="1">
      <x:c r="A5" s="126" t="str">
        <x:v>OTH-001</x:v>
      </x:c>
      <x:c r="B5" s="126" t="str">
        <x:v>medlic.spb.ru</x:v>
      </x:c>
      <x:c r="C5" s="126" t="str">
        <x:v>SEO/индексация</x:v>
      </x:c>
      <x:c r="D5" s="126" t="str">
        <x:v>Опубликовано, title/description/indexing локально проверены; status client_review</x:v>
      </x:c>
      <x:c r="E5" s="126" t="str">
        <x:v>Отдельно от form acceptance; сохранить доказательство</x:v>
      </x:c>
      <x:c r="F5" s="126" t="str">
        <x:v>ЧАСТИЧНО</x:v>
      </x:c>
      <x:c r="G5" s="126" t="str">
        <x:v>client_tasks.json; Gmail 19f9a005ec1821e7</x:v>
      </x:c>
    </x:row>
    <x:row r="6" ht="54" hidden="0" customHeight="1">
      <x:c r="A6" s="127" t="str">
        <x:v>OTH-002</x:v>
      </x:c>
      <x:c r="B6" s="127" t="str">
        <x:v>mchs-spb.ru</x:v>
      </x:c>
      <x:c r="C6" s="127" t="str">
        <x:v>Почта/MX/SPF/DKIM</x:v>
      </x:c>
      <x:c r="D6" s="127" t="str">
        <x:v>Доставка обеих форм подтверждена; DNS 31.07 OK</x:v>
      </x:c>
      <x:c r="E6" s="127" t="str">
        <x:v>Обязательного остатка нет без новой публикации</x:v>
      </x:c>
      <x:c r="F6" s="127" t="str">
        <x:v>ГОТОВО</x:v>
      </x:c>
      <x:c r="G6" s="127" t="str">
        <x:v>Gmail 19f935839b9d04c9; mail DNS 31.07</x:v>
      </x:c>
    </x:row>
    <x:row r="7" ht="75.5999984741211" hidden="0" customHeight="1">
      <x:c r="A7" s="127" t="str">
        <x:v>OTH-003</x:v>
      </x:c>
      <x:c r="B7" s="127" t="str">
        <x:v>apreal.ru</x:v>
      </x:c>
      <x:c r="C7" s="127" t="str">
        <x:v>WordPress admin</x:v>
      </x:c>
      <x:c r="D7" s="127" t="str">
        <x:v>Переданы /wp-admin/ и /wp-login.php; клиент поблагодарил 27.07</x:v>
      </x:c>
      <x:c r="E7" s="127" t="str">
        <x:v>Нет</x:v>
      </x:c>
      <x:c r="F7" s="127" t="str">
        <x:v>ГОТОВО</x:v>
      </x:c>
      <x:c r="G7" s="127" t="str">
        <x:v>Gmail 19f951a71f7447b5; 19f95248f170b718; 19fa20e093abee5c</x:v>
      </x:c>
    </x:row>
    <x:row r="8" ht="54" hidden="0" customHeight="1">
      <x:c r="A8" s="127" t="str">
        <x:v>OTH-004</x:v>
      </x:c>
      <x:c r="B8" s="127" t="str">
        <x:v>apreal.spb.ru</x:v>
      </x:c>
      <x:c r="C8" s="127" t="str">
        <x:v>Search Console breadcrumbs</x:v>
      </x:c>
      <x:c r="D8" s="127" t="str">
        <x:v>Проблема не воспроизведена; код не менялся</x:v>
      </x:c>
      <x:c r="E8" s="127" t="str">
        <x:v>Новый входной сигнал, если ошибка повторится</x:v>
      </x:c>
      <x:c r="F8" s="127" t="str">
        <x:v>НАБЛЮДЕНИЕ</x:v>
      </x:c>
      <x:c r="G8" s="127" t="str">
        <x:v>Gmail technical thread</x:v>
      </x:c>
    </x:row>
    <x:row r="9" ht="64.80000305175781" hidden="0" customHeight="1">
      <x:c r="A9" s="127" t="str">
        <x:v>OTH-005</x:v>
      </x:c>
      <x:c r="B9" s="127" t="str">
        <x:v>RU-CENTER</x:v>
      </x:c>
      <x:c r="C9" s="127" t="str">
        <x:v>Идентификация через Госуслуги</x:v>
      </x:c>
      <x:c r="D9" s="127" t="str">
        <x:v>Внешнее действие владельца аккаунта до 01.09</x:v>
      </x:c>
      <x:c r="E9" s="127" t="str">
        <x:v>Не считать невыполненной frontend/backend правкой</x:v>
      </x:c>
      <x:c r="F9" s="127" t="str">
        <x:v>ВНЕШНЕЕ ДЕЙСТВИЕ</x:v>
      </x:c>
      <x:c r="G9" s="127" t="str">
        <x:v>Gmail notice</x:v>
      </x:c>
    </x:row>
    <x:row r="10" ht="64.80000305175781" hidden="0" customHeight="1">
      <x:c r="A10" s="127" t="str">
        <x:v>OTH-006</x:v>
      </x:c>
      <x:c r="B10" s="127" t="str">
        <x:v>apreal-samara.ru</x:v>
      </x:c>
      <x:c r="C10" s="127" t="str">
        <x:v>Инфекция/блокировка/DNS</x:v>
      </x:c>
      <x:c r="D10" s="127" t="str">
        <x:v>Из форм и переноса исключён; DNS не разрешается</x:v>
      </x:c>
      <x:c r="E10" s="127" t="str">
        <x:v>Отдельное решение о восстановлении и доступах</x:v>
      </x:c>
      <x:c r="F10" s="127" t="str">
        <x:v>БЛОКИРОВАНО</x:v>
      </x:c>
      <x:c r="G10" s="127" t="str">
        <x:v>Gmail 19f76757e8d2018e; QA 31.07</x:v>
      </x:c>
    </x:row>
    <x:row r="11" ht="54" hidden="0" customHeight="1">
      <x:c r="A11" s="128" t="str">
        <x:v>OTH-007</x:v>
      </x:c>
      <x:c r="B11" s="128" t="str">
        <x:v>ohrana-truda.nousro.ru</x:v>
      </x:c>
      <x:c r="C11" s="128" t="str">
        <x:v>Восстановление</x:v>
      </x:c>
      <x:c r="D11" s="128" t="str">
        <x:v>58 файлов и 7 страниц HTTP 200 на 16.07</x:v>
      </x:c>
      <x:c r="E11" s="128" t="str">
        <x:v>Свежий QA при включении в текущую приёмку</x:v>
      </x:c>
      <x:c r="F11" s="128" t="str">
        <x:v>НУЖЕН QA</x:v>
      </x:c>
      <x:c r="G11" s="128" t="str">
        <x:v>Gmail 19ef4b8ea62c2dee; отчёт 16.07</x:v>
      </x:c>
    </x:row>
  </x:sheetData>
  <x:mergeCells>
    <x:mergeCell ref="A1:G1"/>
    <x:mergeCell ref="A2:G2"/>
  </x:mergeCells>
  <x:conditionalFormatting sqref="F5:F11">
    <x:cfRule type="containsText" dxfId="16" priority="1" operator="containsText" text="ГОТОВО"/>
    <x:cfRule type="containsText" dxfId="17" priority="2" operator="containsText" text="ПЕРЕНЕСЁН"/>
    <x:cfRule type="containsText" dxfId="18" priority="3" operator="containsText" text="ЧАСТИЧНО"/>
    <x:cfRule type="containsText" dxfId="19" priority="4" operator="containsText" text="НУЖЕН QA"/>
    <x:cfRule type="containsText" dxfId="20" priority="5" operator="containsText" text="БЛОКИРОВАНО"/>
    <x:cfRule type="containsText" dxfId="21" priority="6" operator="containsText" text="ПРОТИВОРЕЧИЕ"/>
    <x:cfRule type="containsText" dxfId="22" priority="7" operator="containsText" text="НЕЯСНЫЙ"/>
    <x:cfRule type="containsText" dxfId="23" priority="8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3eae40e4ad5540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3" hidden="0" customWidth="1"/>
    <x:col min="3" max="3" width="13" hidden="0" customWidth="1"/>
    <x:col min="4" max="4" width="15" hidden="0" customWidth="1"/>
    <x:col min="5" max="5" width="31" hidden="0" customWidth="1"/>
    <x:col min="6" max="6" width="10" hidden="0" customWidth="1"/>
    <x:col min="7" max="7" width="22" hidden="0" customWidth="1"/>
    <x:col min="8" max="8" width="26" hidden="0" customWidth="1"/>
    <x:col min="9" max="9" width="38" hidden="0" customWidth="1"/>
    <x:col min="10" max="10" width="12" hidden="0" customWidth="1"/>
    <x:col min="11" max="11" width="36" hidden="0" customWidth="1"/>
    <x:col min="12" max="12" width="32" hidden="0" customWidth="1"/>
    <x:col min="13" max="13" width="17" hidden="0" customWidth="1"/>
    <x:col min="14" max="14" width="28" hidden="0" customWidth="1"/>
  </x:cols>
  <x:sheetData>
    <x:row r="1" ht="30" customHeight="1">
      <x:c r="A1" s="112" t="str">
        <x:v>QA 31.07.2026 и пробелы доказательств</x:v>
      </x:c>
    </x:row>
    <x:row r="2" ht="34" customHeight="1">
      <x:c r="A2" s="114" t="str">
        <x:v>60/60 включённых desktop/mobile views без failures подтверждают открытие UI, но не доставку. Valid mail в итоговом прогоне не запрашивался.</x:v>
      </x:c>
    </x:row>
    <x:row r="4" ht="38" customHeight="1">
      <x:c r="A4" s="123" t="str">
        <x:v>№</x:v>
      </x:c>
      <x:c r="B4" s="124" t="str">
        <x:v>Домен</x:v>
      </x:c>
      <x:c r="C4" s="124" t="str">
        <x:v>Scope</x:v>
      </x:c>
      <x:c r="D4" s="124" t="str">
        <x:v>Семейство</x:v>
      </x:c>
      <x:c r="E4" s="124" t="str">
        <x:v>UI QA</x:v>
      </x:c>
      <x:c r="F4" s="124" t="str">
        <x:v>Failures</x:v>
      </x:c>
      <x:c r="G4" s="124" t="str">
        <x:v>Скриншоты</x:v>
      </x:c>
      <x:c r="H4" s="124" t="str">
        <x:v>Invalid path</x:v>
      </x:c>
      <x:c r="I4" s="124" t="str">
        <x:v>Valid delivery</x:v>
      </x:c>
      <x:c r="J4" s="124" t="str">
        <x:v>PageErrors</x:v>
      </x:c>
      <x:c r="K4" s="124" t="str">
        <x:v>Ошибки/console</x:v>
      </x:c>
      <x:c r="L4" s="124" t="str">
        <x:v>DNS/mail</x:v>
      </x:c>
      <x:c r="M4" s="124" t="str">
        <x:v>Статус</x:v>
      </x:c>
      <x:c r="N4" s="125" t="str">
        <x:v>Evidence</x:v>
      </x:c>
    </x:row>
    <x:row r="5" ht="43.20000076293945" hidden="0" customHeight="1">
      <x:c r="A5" s="126" t="n">
        <x:v>1</x:v>
      </x:c>
      <x:c r="B5" s="126" t="str">
        <x:v>apreal.ru</x:v>
      </x:c>
      <x:c r="C5" s="126" t="str">
        <x:v>Включён</x:v>
      </x:c>
      <x:c r="D5" s="126" t="str">
        <x:v>CF7</x:v>
      </x:c>
      <x:c r="E5" s="126" t="str">
        <x:v>31.07 desktop/mobile: формы видны</x:v>
      </x:c>
      <x:c r="F5" s="126" t="n">
        <x:v>0</x:v>
      </x:c>
      <x:c r="G5" s="126" t="str">
        <x:v>Есть: desktop/mobile</x:v>
      </x:c>
      <x:c r="H5" s="126" t="str">
        <x:v>Свежего CF7 server-side invalid-теста нет</x:v>
      </x:c>
      <x:c r="I5" s="126" t="str">
        <x:v>Свежая пара писем не доказана</x:v>
      </x:c>
      <x:c r="J5" s="126" t="n">
        <x:v>2</x:v>
      </x:c>
      <x:c r="K5" s="126" t="str">
        <x:v>objectManager ×2; console 404×3</x:v>
      </x:c>
      <x:c r="L5" s="126" t="str">
        <x:v>Web разрешается; mail DNS не свежий</x:v>
      </x:c>
      <x:c r="M5" s="126" t="str">
        <x:v>ЧАСТИЧНО</x:v>
      </x:c>
      <x:c r="N5" s="126" t="str">
        <x:v>QA 31.07; Gmail 19f929459b39be8a</x:v>
      </x:c>
    </x:row>
    <x:row r="6" ht="54" hidden="0" customHeight="1">
      <x:c r="A6" s="127" t="n">
        <x:v>2</x:v>
      </x:c>
      <x:c r="B6" s="127" t="str">
        <x:v>docp.ru</x:v>
      </x:c>
      <x:c r="C6" s="127" t="str">
        <x:v>Включён</x:v>
      </x:c>
      <x:c r="D6" s="127" t="str">
        <x:v>Стандартный</x:v>
      </x:c>
      <x:c r="E6" s="127" t="str">
        <x:v>31.07 desktop/mobile: формы видны</x:v>
      </x:c>
      <x:c r="F6" s="127" t="n">
        <x:v>0</x:v>
      </x:c>
      <x:c r="G6" s="127" t="str">
        <x:v>Есть: desktop/mobile</x:v>
      </x:c>
      <x:c r="H6" s="127" t="str">
        <x:v>Invalid блокируется</x:v>
      </x:c>
      <x:c r="I6" s="127" t="str">
        <x:v>Старые callback/question; после deploy не повторены</x:v>
      </x:c>
      <x:c r="J6" s="127" t="n">
        <x:v>2</x:v>
      </x:c>
      <x:c r="K6" s="127" t="str">
        <x:v>myPlacemarkWithContent ×2</x:v>
      </x:c>
      <x:c r="L6" s="127" t="str">
        <x:v>Web разрешается; mail DNS не свежий</x:v>
      </x:c>
      <x:c r="M6" s="127" t="str">
        <x:v>ЧАСТИЧНО</x:v>
      </x:c>
      <x:c r="N6" s="127" t="str">
        <x:v>QA 31.07; старые mail-evidence</x:v>
      </x:c>
    </x:row>
    <x:row r="7" ht="54" hidden="0" customHeight="1">
      <x:c r="A7" s="127" t="n">
        <x:v>3</x:v>
      </x:c>
      <x:c r="B7" s="127" t="str">
        <x:v>mca24.ru</x:v>
      </x:c>
      <x:c r="C7" s="127" t="str">
        <x:v>Включён</x:v>
      </x:c>
      <x:c r="D7" s="127" t="str">
        <x:v>mail.php</x:v>
      </x:c>
      <x:c r="E7" s="127" t="str">
        <x:v>31.07 desktop/mobile: формы видны</x:v>
      </x:c>
      <x:c r="F7" s="127" t="n">
        <x:v>0</x:v>
      </x:c>
      <x:c r="G7" s="127" t="str">
        <x:v>Есть: desktop/mobile</x:v>
      </x:c>
      <x:c r="H7" s="127" t="str">
        <x:v>Invalid captcha блокируется</x:v>
      </x:c>
      <x:c r="I7" s="127" t="str">
        <x:v>После deploy valid не отправлялся</x:v>
      </x:c>
      <x:c r="J7" s="127" t="n">
        <x:v>0</x:v>
      </x:c>
      <x:c r="K7" s="127" t="str">
        <x:v>Нет pageErrors</x:v>
      </x:c>
      <x:c r="L7" s="127" t="str">
        <x:v>Web разрешается; mail DNS не свежий</x:v>
      </x:c>
      <x:c r="M7" s="127" t="str">
        <x:v>ЧАСТИЧНО</x:v>
      </x:c>
      <x:c r="N7" s="127" t="str">
        <x:v>Custom invalid JSON</x:v>
      </x:c>
    </x:row>
    <x:row r="8" ht="54" hidden="0" customHeight="1">
      <x:c r="A8" s="127" t="n">
        <x:v>4</x:v>
      </x:c>
      <x:c r="B8" s="127" t="str">
        <x:v>fsa-lab.ru</x:v>
      </x:c>
      <x:c r="C8" s="127" t="str">
        <x:v>Включён</x:v>
      </x:c>
      <x:c r="D8" s="127" t="str">
        <x:v>mail.php</x:v>
      </x:c>
      <x:c r="E8" s="127" t="str">
        <x:v>31.07 desktop/mobile: формы видны</x:v>
      </x:c>
      <x:c r="F8" s="127" t="n">
        <x:v>0</x:v>
      </x:c>
      <x:c r="G8" s="127" t="str">
        <x:v>Есть: desktop/mobile</x:v>
      </x:c>
      <x:c r="H8" s="127" t="str">
        <x:v>Invalid captcha блокируется</x:v>
      </x:c>
      <x:c r="I8" s="127" t="str">
        <x:v>После deploy valid не отправлялся</x:v>
      </x:c>
      <x:c r="J8" s="127" t="n">
        <x:v>2</x:v>
      </x:c>
      <x:c r="K8" s="127" t="str">
        <x:v>M_Modal null ×2</x:v>
      </x:c>
      <x:c r="L8" s="127" t="str">
        <x:v>Web разрешается; mail DNS не свежий</x:v>
      </x:c>
      <x:c r="M8" s="127" t="str">
        <x:v>ЧАСТИЧНО</x:v>
      </x:c>
      <x:c r="N8" s="127" t="str">
        <x:v>Custom invalid JSON</x:v>
      </x:c>
    </x:row>
    <x:row r="9" ht="54" hidden="0" customHeight="1">
      <x:c r="A9" s="127" t="n">
        <x:v>5</x:v>
      </x:c>
      <x:c r="B9" s="127" t="str">
        <x:v>elecktro.ru</x:v>
      </x:c>
      <x:c r="C9" s="127" t="str">
        <x:v>Включён</x:v>
      </x:c>
      <x:c r="D9" s="127" t="str">
        <x:v>Стандартный</x:v>
      </x:c>
      <x:c r="E9" s="127" t="str">
        <x:v>31.07 desktop/mobile: формы видны</x:v>
      </x:c>
      <x:c r="F9" s="127" t="n">
        <x:v>0</x:v>
      </x:c>
      <x:c r="G9" s="127" t="str">
        <x:v>Есть: desktop/mobile</x:v>
      </x:c>
      <x:c r="H9" s="127" t="str">
        <x:v>Invalid блокируется</x:v>
      </x:c>
      <x:c r="I9" s="127" t="str">
        <x:v>После deploy valid не отправлялся</x:v>
      </x:c>
      <x:c r="J9" s="127" t="n">
        <x:v>0</x:v>
      </x:c>
      <x:c r="K9" s="127" t="str">
        <x:v>Нет pageErrors</x:v>
      </x:c>
      <x:c r="L9" s="127" t="str">
        <x:v>Web разрешается; mail DNS не свежий</x:v>
      </x:c>
      <x:c r="M9" s="127" t="str">
        <x:v>ЧАСТИЧНО</x:v>
      </x:c>
      <x:c r="N9" s="127" t="str">
        <x:v>Standard invalid JSON</x:v>
      </x:c>
    </x:row>
    <x:row r="10" ht="64.80000305175781" hidden="0" customHeight="1">
      <x:c r="A10" s="127" t="n">
        <x:v>6</x:v>
      </x:c>
      <x:c r="B10" s="127" t="str">
        <x:v>rectavr.ru</x:v>
      </x:c>
      <x:c r="C10" s="127" t="str">
        <x:v>Исключён</x:v>
      </x:c>
      <x:c r="D10" s="127" t="str">
        <x:v>Исключение</x:v>
      </x:c>
      <x:c r="E10" s="127" t="str">
        <x:v>31.07 desktop/mobile: сайт 200, стандартных форм нет</x:v>
      </x:c>
      <x:c r="F10" s="127" t="n">
        <x:v>0</x:v>
      </x:c>
      <x:c r="G10" s="127" t="str">
        <x:v>Есть: desktop/mobile</x:v>
      </x:c>
      <x:c r="H10" s="127" t="str">
        <x:v>Не применяется</x:v>
      </x:c>
      <x:c r="I10" s="127" t="str">
        <x:v>Не применяется</x:v>
      </x:c>
      <x:c r="J10" s="127" t="n">
        <x:v>0</x:v>
      </x:c>
      <x:c r="K10" s="127" t="str">
        <x:v>Нет pageErrors</x:v>
      </x:c>
      <x:c r="L10" s="127" t="str">
        <x:v>Web разрешается; mail DNS не свежий</x:v>
      </x:c>
      <x:c r="M10" s="127" t="str">
        <x:v>ИСКЛЮЧЕНО</x:v>
      </x:c>
      <x:c r="N10" s="127" t="str">
        <x:v>QA 31.07</x:v>
      </x:c>
    </x:row>
    <x:row r="11" ht="54" hidden="0" customHeight="1">
      <x:c r="A11" s="127" t="n">
        <x:v>7</x:v>
      </x:c>
      <x:c r="B11" s="127" t="str">
        <x:v>med-license.ru</x:v>
      </x:c>
      <x:c r="C11" s="127" t="str">
        <x:v>Включён</x:v>
      </x:c>
      <x:c r="D11" s="127" t="str">
        <x:v>mail.php</x:v>
      </x:c>
      <x:c r="E11" s="127" t="str">
        <x:v>31.07 desktop/mobile: формы видны</x:v>
      </x:c>
      <x:c r="F11" s="127" t="n">
        <x:v>0</x:v>
      </x:c>
      <x:c r="G11" s="127" t="str">
        <x:v>Есть: desktop/mobile</x:v>
      </x:c>
      <x:c r="H11" s="127" t="str">
        <x:v>Invalid captcha блокируется</x:v>
      </x:c>
      <x:c r="I11" s="127" t="str">
        <x:v>После deploy valid не отправлялся</x:v>
      </x:c>
      <x:c r="J11" s="127" t="n">
        <x:v>0</x:v>
      </x:c>
      <x:c r="K11" s="127" t="str">
        <x:v>Нет pageErrors</x:v>
      </x:c>
      <x:c r="L11" s="127" t="str">
        <x:v>Web разрешается; mail DNS не свежий</x:v>
      </x:c>
      <x:c r="M11" s="127" t="str">
        <x:v>ЧАСТИЧНО</x:v>
      </x:c>
      <x:c r="N11" s="127" t="str">
        <x:v>Custom invalid JSON</x:v>
      </x:c>
    </x:row>
    <x:row r="12" ht="54" hidden="0" customHeight="1">
      <x:c r="A12" s="127" t="n">
        <x:v>8</x:v>
      </x:c>
      <x:c r="B12" s="127" t="str">
        <x:v>mhsl.ru</x:v>
      </x:c>
      <x:c r="C12" s="127" t="str">
        <x:v>Включён</x:v>
      </x:c>
      <x:c r="D12" s="127" t="str">
        <x:v>mail.php</x:v>
      </x:c>
      <x:c r="E12" s="127" t="str">
        <x:v>31.07 desktop/mobile: формы видны</x:v>
      </x:c>
      <x:c r="F12" s="127" t="n">
        <x:v>0</x:v>
      </x:c>
      <x:c r="G12" s="127" t="str">
        <x:v>Есть: desktop/mobile</x:v>
      </x:c>
      <x:c r="H12" s="127" t="str">
        <x:v>Invalid captcha блокируется</x:v>
      </x:c>
      <x:c r="I12" s="127" t="str">
        <x:v>После deploy valid не отправлялся</x:v>
      </x:c>
      <x:c r="J12" s="127" t="n">
        <x:v>0</x:v>
      </x:c>
      <x:c r="K12" s="127" t="str">
        <x:v>Нет pageErrors</x:v>
      </x:c>
      <x:c r="L12" s="127" t="str">
        <x:v>Web разрешается; mail DNS не свежий</x:v>
      </x:c>
      <x:c r="M12" s="127" t="str">
        <x:v>ЧАСТИЧНО</x:v>
      </x:c>
      <x:c r="N12" s="127" t="str">
        <x:v>Custom invalid JSON</x:v>
      </x:c>
    </x:row>
    <x:row r="13" ht="54" hidden="0" customHeight="1">
      <x:c r="A13" s="127" t="n">
        <x:v>9</x:v>
      </x:c>
      <x:c r="B13" s="127" t="str">
        <x:v>fste.ru</x:v>
      </x:c>
      <x:c r="C13" s="127" t="str">
        <x:v>Включён</x:v>
      </x:c>
      <x:c r="D13" s="127" t="str">
        <x:v>Стандартный</x:v>
      </x:c>
      <x:c r="E13" s="127" t="str">
        <x:v>31.07 desktop/mobile: формы видны</x:v>
      </x:c>
      <x:c r="F13" s="127" t="n">
        <x:v>0</x:v>
      </x:c>
      <x:c r="G13" s="127" t="str">
        <x:v>Есть: desktop/mobile</x:v>
      </x:c>
      <x:c r="H13" s="127" t="str">
        <x:v>Invalid блокируется</x:v>
      </x:c>
      <x:c r="I13" s="127" t="str">
        <x:v>Valid доказательство до последней правки</x:v>
      </x:c>
      <x:c r="J13" s="127" t="n">
        <x:v>0</x:v>
      </x:c>
      <x:c r="K13" s="127" t="str">
        <x:v>Нет pageErrors</x:v>
      </x:c>
      <x:c r="L13" s="127" t="str">
        <x:v>Web разрешается; mail DNS не свежий</x:v>
      </x:c>
      <x:c r="M13" s="127" t="str">
        <x:v>ЧАСТИЧНО</x:v>
      </x:c>
      <x:c r="N13" s="127" t="str">
        <x:v>QA 31.07; старый HTTP</x:v>
      </x:c>
    </x:row>
    <x:row r="14" ht="54" hidden="0" customHeight="1">
      <x:c r="A14" s="127" t="n">
        <x:v>10</x:v>
      </x:c>
      <x:c r="B14" s="127" t="str">
        <x:v>otxodi.ru</x:v>
      </x:c>
      <x:c r="C14" s="127" t="str">
        <x:v>Включён</x:v>
      </x:c>
      <x:c r="D14" s="127" t="str">
        <x:v>Стандартный</x:v>
      </x:c>
      <x:c r="E14" s="127" t="str">
        <x:v>31.07 desktop/mobile: формы видны</x:v>
      </x:c>
      <x:c r="F14" s="127" t="n">
        <x:v>0</x:v>
      </x:c>
      <x:c r="G14" s="127" t="str">
        <x:v>Есть: desktop/mobile</x:v>
      </x:c>
      <x:c r="H14" s="127" t="str">
        <x:v>Invalid блокируется</x:v>
      </x:c>
      <x:c r="I14" s="127" t="str">
        <x:v>HTTP cb/question 24.07; получение не доказано</x:v>
      </x:c>
      <x:c r="J14" s="127" t="n">
        <x:v>0</x:v>
      </x:c>
      <x:c r="K14" s="127" t="str">
        <x:v>Нет pageErrors</x:v>
      </x:c>
      <x:c r="L14" s="127" t="str">
        <x:v>Web разрешается; mail DNS не свежий</x:v>
      </x:c>
      <x:c r="M14" s="127" t="str">
        <x:v>ЧАСТИЧНО</x:v>
      </x:c>
      <x:c r="N14" s="127" t="str">
        <x:v>QA 31.07; старый HTTP</x:v>
      </x:c>
    </x:row>
    <x:row r="15" ht="54" hidden="0" customHeight="1">
      <x:c r="A15" s="127" t="n">
        <x:v>11</x:v>
      </x:c>
      <x:c r="B15" s="127" t="str">
        <x:v>lfsb.ru</x:v>
      </x:c>
      <x:c r="C15" s="127" t="str">
        <x:v>Включён</x:v>
      </x:c>
      <x:c r="D15" s="127" t="str">
        <x:v>Стандартный</x:v>
      </x:c>
      <x:c r="E15" s="127" t="str">
        <x:v>31.07 desktop/mobile: формы видны</x:v>
      </x:c>
      <x:c r="F15" s="127" t="n">
        <x:v>0</x:v>
      </x:c>
      <x:c r="G15" s="127" t="str">
        <x:v>Есть: desktop/mobile</x:v>
      </x:c>
      <x:c r="H15" s="127" t="str">
        <x:v>Invalid блокируется</x:v>
      </x:c>
      <x:c r="I15" s="127" t="str">
        <x:v>HTTP cb/question 24.07; получение не доказано</x:v>
      </x:c>
      <x:c r="J15" s="127" t="n">
        <x:v>0</x:v>
      </x:c>
      <x:c r="K15" s="127" t="str">
        <x:v>Console 404×2</x:v>
      </x:c>
      <x:c r="L15" s="127" t="str">
        <x:v>Web разрешается; mail DNS не свежий</x:v>
      </x:c>
      <x:c r="M15" s="127" t="str">
        <x:v>ЧАСТИЧНО</x:v>
      </x:c>
      <x:c r="N15" s="127" t="str">
        <x:v>QA 31.07; старый HTTP</x:v>
      </x:c>
    </x:row>
    <x:row r="16" ht="64.80000305175781" hidden="0" customHeight="1">
      <x:c r="A16" s="127" t="n">
        <x:v>12</x:v>
      </x:c>
      <x:c r="B16" s="127" t="str">
        <x:v>apreal.spb.ru</x:v>
      </x:c>
      <x:c r="C16" s="127" t="str">
        <x:v>Включён</x:v>
      </x:c>
      <x:c r="D16" s="127" t="str">
        <x:v>Стандартный</x:v>
      </x:c>
      <x:c r="E16" s="127" t="str">
        <x:v>31.07 desktop/mobile: формы видны</x:v>
      </x:c>
      <x:c r="F16" s="127" t="n">
        <x:v>0</x:v>
      </x:c>
      <x:c r="G16" s="127" t="str">
        <x:v>Есть: desktop/mobile</x:v>
      </x:c>
      <x:c r="H16" s="127" t="str">
        <x:v>Invalid блокируется</x:v>
      </x:c>
      <x:c r="I16" s="127" t="str">
        <x:v>Старые E2E/HTTP; question не после финального callback</x:v>
      </x:c>
      <x:c r="J16" s="127" t="n">
        <x:v>0</x:v>
      </x:c>
      <x:c r="K16" s="127" t="str">
        <x:v>Нет pageErrors</x:v>
      </x:c>
      <x:c r="L16" s="127" t="str">
        <x:v>Web разрешается; mail DNS не свежий</x:v>
      </x:c>
      <x:c r="M16" s="127" t="str">
        <x:v>ЧАСТИЧНО</x:v>
      </x:c>
      <x:c r="N16" s="127" t="str">
        <x:v>QA 31.07; client acceptance</x:v>
      </x:c>
    </x:row>
    <x:row r="17" ht="54" hidden="0" customHeight="1">
      <x:c r="A17" s="127" t="n">
        <x:v>15</x:v>
      </x:c>
      <x:c r="B17" s="127" t="str">
        <x:v>minkult78.ru</x:v>
      </x:c>
      <x:c r="C17" s="127" t="str">
        <x:v>Включён</x:v>
      </x:c>
      <x:c r="D17" s="127" t="str">
        <x:v>Стандартный</x:v>
      </x:c>
      <x:c r="E17" s="127" t="str">
        <x:v>31.07 desktop/mobile: формы видны</x:v>
      </x:c>
      <x:c r="F17" s="127" t="n">
        <x:v>0</x:v>
      </x:c>
      <x:c r="G17" s="127" t="str">
        <x:v>Есть: desktop/mobile</x:v>
      </x:c>
      <x:c r="H17" s="127" t="str">
        <x:v>Invalid блокируется</x:v>
      </x:c>
      <x:c r="I17" s="127" t="str">
        <x:v>После deploy valid не отправлялся</x:v>
      </x:c>
      <x:c r="J17" s="127" t="n">
        <x:v>0</x:v>
      </x:c>
      <x:c r="K17" s="127" t="str">
        <x:v>Console 404×26</x:v>
      </x:c>
      <x:c r="L17" s="127" t="str">
        <x:v>Web разрешается; mail DNS не свежий</x:v>
      </x:c>
      <x:c r="M17" s="127" t="str">
        <x:v>ЧАСТИЧНО</x:v>
      </x:c>
      <x:c r="N17" s="127" t="str">
        <x:v>Standard invalid JSON</x:v>
      </x:c>
    </x:row>
    <x:row r="18" ht="54" hidden="0" customHeight="1">
      <x:c r="A18" s="127" t="n">
        <x:v>16</x:v>
      </x:c>
      <x:c r="B18" s="127" t="str">
        <x:v>medlic.spb.ru</x:v>
      </x:c>
      <x:c r="C18" s="127" t="str">
        <x:v>Включён</x:v>
      </x:c>
      <x:c r="D18" s="127" t="str">
        <x:v>Стандартный</x:v>
      </x:c>
      <x:c r="E18" s="127" t="str">
        <x:v>31.07 desktop/mobile: формы видны</x:v>
      </x:c>
      <x:c r="F18" s="127" t="n">
        <x:v>0</x:v>
      </x:c>
      <x:c r="G18" s="127" t="str">
        <x:v>Есть: desktop/mobile</x:v>
      </x:c>
      <x:c r="H18" s="127" t="str">
        <x:v>Invalid блокируется</x:v>
      </x:c>
      <x:c r="I18" s="127" t="str">
        <x:v>HTTP 29.07 до финальной route-записи</x:v>
      </x:c>
      <x:c r="J18" s="127" t="n">
        <x:v>2</x:v>
      </x:c>
      <x:c r="K18" s="127" t="str">
        <x:v>bootComponents ×2</x:v>
      </x:c>
      <x:c r="L18" s="127" t="str">
        <x:v>Web разрешается; mail DNS не свежий</x:v>
      </x:c>
      <x:c r="M18" s="127" t="str">
        <x:v>ЧАСТИЧНО</x:v>
      </x:c>
      <x:c r="N18" s="127" t="str">
        <x:v>QA 31.07; route record 29.07</x:v>
      </x:c>
    </x:row>
    <x:row r="19" ht="54" hidden="0" customHeight="1">
      <x:c r="A19" s="127" t="n">
        <x:v>17</x:v>
      </x:c>
      <x:c r="B19" s="127" t="str">
        <x:v>medtex78.ru</x:v>
      </x:c>
      <x:c r="C19" s="127" t="str">
        <x:v>Включён</x:v>
      </x:c>
      <x:c r="D19" s="127" t="str">
        <x:v>Стандартный</x:v>
      </x:c>
      <x:c r="E19" s="127" t="str">
        <x:v>31.07 desktop/mobile: формы видны</x:v>
      </x:c>
      <x:c r="F19" s="127" t="n">
        <x:v>0</x:v>
      </x:c>
      <x:c r="G19" s="127" t="str">
        <x:v>Есть: desktop/mobile</x:v>
      </x:c>
      <x:c r="H19" s="127" t="str">
        <x:v>Invalid блокируется</x:v>
      </x:c>
      <x:c r="I19" s="127" t="str">
        <x:v>После deploy valid не отправлялся</x:v>
      </x:c>
      <x:c r="J19" s="127" t="n">
        <x:v>0</x:v>
      </x:c>
      <x:c r="K19" s="127" t="str">
        <x:v>Console 404×26</x:v>
      </x:c>
      <x:c r="L19" s="127" t="str">
        <x:v>Web разрешается; mail DNS не свежий</x:v>
      </x:c>
      <x:c r="M19" s="127" t="str">
        <x:v>ЧАСТИЧНО</x:v>
      </x:c>
      <x:c r="N19" s="127" t="str">
        <x:v>Standard invalid JSON</x:v>
      </x:c>
    </x:row>
    <x:row r="20" ht="54" hidden="0" customHeight="1">
      <x:c r="A20" s="127" t="n">
        <x:v>18</x:v>
      </x:c>
      <x:c r="B20" s="127" t="str">
        <x:v>mchs-spb.ru</x:v>
      </x:c>
      <x:c r="C20" s="127" t="str">
        <x:v>Включён</x:v>
      </x:c>
      <x:c r="D20" s="127" t="str">
        <x:v>Стандартный</x:v>
      </x:c>
      <x:c r="E20" s="127" t="str">
        <x:v>31.07 desktop/mobile: формы видны</x:v>
      </x:c>
      <x:c r="F20" s="127" t="n">
        <x:v>0</x:v>
      </x:c>
      <x:c r="G20" s="127" t="str">
        <x:v>Есть: desktop/mobile</x:v>
      </x:c>
      <x:c r="H20" s="127" t="str">
        <x:v>Invalid блокируется</x:v>
      </x:c>
      <x:c r="I20" s="127" t="str">
        <x:v>Обе формы получены 24.07; HTTP success 29.07</x:v>
      </x:c>
      <x:c r="J20" s="127" t="n">
        <x:v>0</x:v>
      </x:c>
      <x:c r="K20" s="127" t="str">
        <x:v>Нет pageErrors; MX/SPF/DKIM 31.07 OK</x:v>
      </x:c>
      <x:c r="L20" s="127" t="str">
        <x:v>Web + MX/SPF/DKIM 31.07 OK</x:v>
      </x:c>
      <x:c r="M20" s="127" t="str">
        <x:v>ГОТОВО</x:v>
      </x:c>
      <x:c r="N20" s="127" t="str">
        <x:v>Mail evidence + QA + DNS</x:v>
      </x:c>
    </x:row>
    <x:row r="21" ht="54" hidden="0" customHeight="1">
      <x:c r="A21" s="127" t="n">
        <x:v>19</x:v>
      </x:c>
      <x:c r="B21" s="127" t="str">
        <x:v>mchs78.ru</x:v>
      </x:c>
      <x:c r="C21" s="127" t="str">
        <x:v>Включён</x:v>
      </x:c>
      <x:c r="D21" s="127" t="str">
        <x:v>Стандартный</x:v>
      </x:c>
      <x:c r="E21" s="127" t="str">
        <x:v>31.07 desktop/mobile: формы видны</x:v>
      </x:c>
      <x:c r="F21" s="127" t="n">
        <x:v>0</x:v>
      </x:c>
      <x:c r="G21" s="127" t="str">
        <x:v>Есть: desktop/mobile</x:v>
      </x:c>
      <x:c r="H21" s="127" t="str">
        <x:v>Invalid блокируется</x:v>
      </x:c>
      <x:c r="I21" s="127" t="str">
        <x:v>После deploy valid не отправлялся</x:v>
      </x:c>
      <x:c r="J21" s="127" t="n">
        <x:v>4</x:v>
      </x:c>
      <x:c r="K21" s="127" t="str">
        <x:v>M/validator ×4; console 404×2</x:v>
      </x:c>
      <x:c r="L21" s="127" t="str">
        <x:v>Web разрешается; mail DNS не свежий</x:v>
      </x:c>
      <x:c r="M21" s="127" t="str">
        <x:v>ЧАСТИЧНО</x:v>
      </x:c>
      <x:c r="N21" s="127" t="str">
        <x:v>Standard invalid JSON</x:v>
      </x:c>
    </x:row>
    <x:row r="22" ht="64.80000305175781" hidden="0" customHeight="1">
      <x:c r="A22" s="127" t="n">
        <x:v>20</x:v>
      </x:c>
      <x:c r="B22" s="127" t="str">
        <x:v>fstek.spb.ru</x:v>
      </x:c>
      <x:c r="C22" s="127" t="str">
        <x:v>Исключён</x:v>
      </x:c>
      <x:c r="D22" s="127" t="str">
        <x:v>Исключение</x:v>
      </x:c>
      <x:c r="E22" s="127" t="str">
        <x:v>31.07 desktop/mobile: сайт 200, стандартных форм нет</x:v>
      </x:c>
      <x:c r="F22" s="127" t="n">
        <x:v>0</x:v>
      </x:c>
      <x:c r="G22" s="127" t="str">
        <x:v>Есть: desktop/mobile</x:v>
      </x:c>
      <x:c r="H22" s="127" t="str">
        <x:v>Не применяется</x:v>
      </x:c>
      <x:c r="I22" s="127" t="str">
        <x:v>Не применяется</x:v>
      </x:c>
      <x:c r="J22" s="127" t="n">
        <x:v>0</x:v>
      </x:c>
      <x:c r="K22" s="127" t="str">
        <x:v>Нет pageErrors</x:v>
      </x:c>
      <x:c r="L22" s="127" t="str">
        <x:v>Web разрешается; mail DNS не свежий</x:v>
      </x:c>
      <x:c r="M22" s="127" t="str">
        <x:v>ИСКЛЮЧЕНО</x:v>
      </x:c>
      <x:c r="N22" s="127" t="str">
        <x:v>QA 31.07</x:v>
      </x:c>
    </x:row>
    <x:row r="23" ht="54" hidden="0" customHeight="1">
      <x:c r="A23" s="127" t="n">
        <x:v>21</x:v>
      </x:c>
      <x:c r="B23" s="127" t="str">
        <x:v>license39.ru</x:v>
      </x:c>
      <x:c r="C23" s="127" t="str">
        <x:v>Включён</x:v>
      </x:c>
      <x:c r="D23" s="127" t="str">
        <x:v>Стандартный</x:v>
      </x:c>
      <x:c r="E23" s="127" t="str">
        <x:v>31.07 desktop/mobile: формы видны</x:v>
      </x:c>
      <x:c r="F23" s="127" t="n">
        <x:v>0</x:v>
      </x:c>
      <x:c r="G23" s="127" t="str">
        <x:v>Есть: desktop/mobile</x:v>
      </x:c>
      <x:c r="H23" s="127" t="str">
        <x:v>Invalid блокируется</x:v>
      </x:c>
      <x:c r="I23" s="127" t="str">
        <x:v>Callback получен 24.07; question не свежий</x:v>
      </x:c>
      <x:c r="J23" s="127" t="n">
        <x:v>0</x:v>
      </x:c>
      <x:c r="K23" s="127" t="str">
        <x:v>Console 404×6</x:v>
      </x:c>
      <x:c r="L23" s="127" t="str">
        <x:v>Web разрешается; mail DNS не свежий</x:v>
      </x:c>
      <x:c r="M23" s="127" t="str">
        <x:v>ЧАСТИЧНО</x:v>
      </x:c>
      <x:c r="N23" s="127" t="str">
        <x:v>QA 31.07; mail evidence</x:v>
      </x:c>
    </x:row>
    <x:row r="24" ht="54" hidden="0" customHeight="1">
      <x:c r="A24" s="127" t="n">
        <x:v>22</x:v>
      </x:c>
      <x:c r="B24" s="127" t="str">
        <x:v>medtex39.ru</x:v>
      </x:c>
      <x:c r="C24" s="127" t="str">
        <x:v>Включён</x:v>
      </x:c>
      <x:c r="D24" s="127" t="str">
        <x:v>Стандартный</x:v>
      </x:c>
      <x:c r="E24" s="127" t="str">
        <x:v>31.07 desktop/mobile: формы видны</x:v>
      </x:c>
      <x:c r="F24" s="127" t="n">
        <x:v>0</x:v>
      </x:c>
      <x:c r="G24" s="127" t="str">
        <x:v>Есть: desktop/mobile</x:v>
      </x:c>
      <x:c r="H24" s="127" t="str">
        <x:v>Invalid блокируется</x:v>
      </x:c>
      <x:c r="I24" s="127" t="str">
        <x:v>После deploy valid не отправлялся</x:v>
      </x:c>
      <x:c r="J24" s="127" t="n">
        <x:v>0</x:v>
      </x:c>
      <x:c r="K24" s="127" t="str">
        <x:v>Console 404×1</x:v>
      </x:c>
      <x:c r="L24" s="127" t="str">
        <x:v>Web разрешается; mail DNS не свежий</x:v>
      </x:c>
      <x:c r="M24" s="127" t="str">
        <x:v>ЧАСТИЧНО</x:v>
      </x:c>
      <x:c r="N24" s="127" t="str">
        <x:v>Standard invalid JSON</x:v>
      </x:c>
    </x:row>
    <x:row r="25" ht="54" hidden="0" customHeight="1">
      <x:c r="A25" s="127" t="n">
        <x:v>23</x:v>
      </x:c>
      <x:c r="B25" s="127" t="str">
        <x:v>39mchs.ru</x:v>
      </x:c>
      <x:c r="C25" s="127" t="str">
        <x:v>Включён</x:v>
      </x:c>
      <x:c r="D25" s="127" t="str">
        <x:v>Стандартный</x:v>
      </x:c>
      <x:c r="E25" s="127" t="str">
        <x:v>31.07 desktop/mobile: формы видны</x:v>
      </x:c>
      <x:c r="F25" s="127" t="n">
        <x:v>0</x:v>
      </x:c>
      <x:c r="G25" s="127" t="str">
        <x:v>Есть: desktop/mobile</x:v>
      </x:c>
      <x:c r="H25" s="127" t="str">
        <x:v>Invalid блокируется</x:v>
      </x:c>
      <x:c r="I25" s="127" t="str">
        <x:v>После deploy valid не отправлялся</x:v>
      </x:c>
      <x:c r="J25" s="127" t="n">
        <x:v>0</x:v>
      </x:c>
      <x:c r="K25" s="127" t="str">
        <x:v>Console 404×46</x:v>
      </x:c>
      <x:c r="L25" s="127" t="str">
        <x:v>Web разрешается; mail DNS не свежий</x:v>
      </x:c>
      <x:c r="M25" s="127" t="str">
        <x:v>ЧАСТИЧНО</x:v>
      </x:c>
      <x:c r="N25" s="127" t="str">
        <x:v>Standard invalid JSON</x:v>
      </x:c>
    </x:row>
    <x:row r="26" ht="54" hidden="0" customHeight="1">
      <x:c r="A26" s="127" t="n">
        <x:v>24</x:v>
      </x:c>
      <x:c r="B26" s="127" t="str">
        <x:v>apreal36.ru</x:v>
      </x:c>
      <x:c r="C26" s="127" t="str">
        <x:v>Включён</x:v>
      </x:c>
      <x:c r="D26" s="127" t="str">
        <x:v>mail.php</x:v>
      </x:c>
      <x:c r="E26" s="127" t="str">
        <x:v>31.07 desktop/mobile: формы видны</x:v>
      </x:c>
      <x:c r="F26" s="127" t="n">
        <x:v>0</x:v>
      </x:c>
      <x:c r="G26" s="127" t="str">
        <x:v>Есть: desktop/mobile</x:v>
      </x:c>
      <x:c r="H26" s="127" t="str">
        <x:v>Invalid captcha блокируется</x:v>
      </x:c>
      <x:c r="I26" s="127" t="str">
        <x:v>После deploy valid не отправлялся</x:v>
      </x:c>
      <x:c r="J26" s="127" t="n">
        <x:v>2</x:v>
      </x:c>
      <x:c r="K26" s="127" t="str">
        <x:v>jQuery is not defined ×2</x:v>
      </x:c>
      <x:c r="L26" s="127" t="str">
        <x:v>Web разрешается; mail DNS не свежий</x:v>
      </x:c>
      <x:c r="M26" s="127" t="str">
        <x:v>ЧАСТИЧНО</x:v>
      </x:c>
      <x:c r="N26" s="127" t="str">
        <x:v>Custom invalid JSON</x:v>
      </x:c>
    </x:row>
    <x:row r="27" ht="54" hidden="0" customHeight="1">
      <x:c r="A27" s="127" t="n">
        <x:v>25</x:v>
      </x:c>
      <x:c r="B27" s="127" t="str">
        <x:v>lic-k.ru</x:v>
      </x:c>
      <x:c r="C27" s="127" t="str">
        <x:v>Исключён</x:v>
      </x:c>
      <x:c r="D27" s="127" t="str">
        <x:v>Исключение</x:v>
      </x:c>
      <x:c r="E27" s="127" t="str">
        <x:v>31.07 desktop/mobile: стандартных форм нет</x:v>
      </x:c>
      <x:c r="F27" s="127" t="n">
        <x:v>0</x:v>
      </x:c>
      <x:c r="G27" s="127" t="str">
        <x:v>Есть: desktop/mobile</x:v>
      </x:c>
      <x:c r="H27" s="127" t="str">
        <x:v>Не применяется</x:v>
      </x:c>
      <x:c r="I27" s="127" t="str">
        <x:v>Не применяется</x:v>
      </x:c>
      <x:c r="J27" s="127" t="n">
        <x:v>2</x:v>
      </x:c>
      <x:c r="K27" s="127" t="str">
        <x:v>Unexpected token ')' ×2; console 404×2</x:v>
      </x:c>
      <x:c r="L27" s="127" t="str">
        <x:v>Web разрешается; mail DNS не свежий</x:v>
      </x:c>
      <x:c r="M27" s="127" t="str">
        <x:v>ЧАСТИЧНО</x:v>
      </x:c>
      <x:c r="N27" s="127" t="str">
        <x:v>QA 31.07</x:v>
      </x:c>
    </x:row>
    <x:row r="28" ht="75.5999984741211" hidden="0" customHeight="1">
      <x:c r="A28" s="127" t="n">
        <x:v>26</x:v>
      </x:c>
      <x:c r="B28" s="127" t="str">
        <x:v>apreal-nn.ru</x:v>
      </x:c>
      <x:c r="C28" s="127" t="str">
        <x:v>Включён</x:v>
      </x:c>
      <x:c r="D28" s="127" t="str">
        <x:v>Стандартный</x:v>
      </x:c>
      <x:c r="E28" s="127" t="str">
        <x:v>31.07 desktop/mobile: формы видны</x:v>
      </x:c>
      <x:c r="F28" s="127" t="n">
        <x:v>0</x:v>
      </x:c>
      <x:c r="G28" s="127" t="str">
        <x:v>Есть: desktop/mobile</x:v>
      </x:c>
      <x:c r="H28" s="127" t="str">
        <x:v>Invalid блокируется</x:v>
      </x:c>
      <x:c r="I28" s="127" t="str">
        <x:v>Callback получен 24.07; question не после общей публикации</x:v>
      </x:c>
      <x:c r="J28" s="127" t="n">
        <x:v>0</x:v>
      </x:c>
      <x:c r="K28" s="127" t="str">
        <x:v>Console 404×12</x:v>
      </x:c>
      <x:c r="L28" s="127" t="str">
        <x:v>Web разрешается; mail DNS не свежий</x:v>
      </x:c>
      <x:c r="M28" s="127" t="str">
        <x:v>ЧАСТИЧНО</x:v>
      </x:c>
      <x:c r="N28" s="127" t="str">
        <x:v>QA 31.07; mail evidence</x:v>
      </x:c>
    </x:row>
    <x:row r="29" ht="54" hidden="0" customHeight="1">
      <x:c r="A29" s="127" t="n">
        <x:v>27</x:v>
      </x:c>
      <x:c r="B29" s="127" t="str">
        <x:v>apreal-volgograd.ru</x:v>
      </x:c>
      <x:c r="C29" s="127" t="str">
        <x:v>Включён</x:v>
      </x:c>
      <x:c r="D29" s="127" t="str">
        <x:v>Стандартный</x:v>
      </x:c>
      <x:c r="E29" s="127" t="str">
        <x:v>31.07 desktop/mobile: формы видны</x:v>
      </x:c>
      <x:c r="F29" s="127" t="n">
        <x:v>0</x:v>
      </x:c>
      <x:c r="G29" s="127" t="str">
        <x:v>Есть: desktop/mobile</x:v>
      </x:c>
      <x:c r="H29" s="127" t="str">
        <x:v>Invalid блокируется</x:v>
      </x:c>
      <x:c r="I29" s="127" t="str">
        <x:v>После deploy valid не отправлялся</x:v>
      </x:c>
      <x:c r="J29" s="127" t="n">
        <x:v>0</x:v>
      </x:c>
      <x:c r="K29" s="127" t="str">
        <x:v>Mixed-content ×2</x:v>
      </x:c>
      <x:c r="L29" s="127" t="str">
        <x:v>Web разрешается; mail DNS не свежий</x:v>
      </x:c>
      <x:c r="M29" s="127" t="str">
        <x:v>ЧАСТИЧНО</x:v>
      </x:c>
      <x:c r="N29" s="127" t="str">
        <x:v>Standard invalid JSON</x:v>
      </x:c>
    </x:row>
    <x:row r="30" ht="32.400001525878906" hidden="0" customHeight="1">
      <x:c r="A30" s="127" t="n">
        <x:v>28</x:v>
      </x:c>
      <x:c r="B30" s="127" t="str">
        <x:v>apreal-samara.ru</x:v>
      </x:c>
      <x:c r="C30" s="127" t="str">
        <x:v>Исключён</x:v>
      </x:c>
      <x:c r="D30" s="127" t="str">
        <x:v>Исключение</x:v>
      </x:c>
      <x:c r="E30" s="127" t="str">
        <x:v>31.07: оба viewport не открылись</x:v>
      </x:c>
      <x:c r="F30" s="127" t="n">
        <x:v>2</x:v>
      </x:c>
      <x:c r="G30" s="127" t="str">
        <x:v>Нет: DNS failure</x:v>
      </x:c>
      <x:c r="H30" s="127" t="str">
        <x:v>Не применяется</x:v>
      </x:c>
      <x:c r="I30" s="127" t="str">
        <x:v>Не применяется</x:v>
      </x:c>
      <x:c r="J30" s="127" t="n">
        <x:v>0</x:v>
      </x:c>
      <x:c r="K30" s="127" t="str">
        <x:v>ERR_NAME_NOT_RESOLVED</x:v>
      </x:c>
      <x:c r="L30" s="127" t="str">
        <x:v>ERR_NAME_NOT_RESOLVED</x:v>
      </x:c>
      <x:c r="M30" s="127" t="str">
        <x:v>БЛОКИРОВАНО</x:v>
      </x:c>
      <x:c r="N30" s="127" t="str">
        <x:v>QA 31.07</x:v>
      </x:c>
    </x:row>
    <x:row r="31" ht="43.20000076293945" hidden="0" customHeight="1">
      <x:c r="A31" s="127" t="n">
        <x:v>29</x:v>
      </x:c>
      <x:c r="B31" s="127" t="str">
        <x:v>apreal72.ru</x:v>
      </x:c>
      <x:c r="C31" s="127" t="str">
        <x:v>Включён</x:v>
      </x:c>
      <x:c r="D31" s="127" t="str">
        <x:v>Стандартный</x:v>
      </x:c>
      <x:c r="E31" s="127" t="str">
        <x:v>31.07 desktop/mobile: формы видны</x:v>
      </x:c>
      <x:c r="F31" s="127" t="n">
        <x:v>0</x:v>
      </x:c>
      <x:c r="G31" s="127" t="str">
        <x:v>Есть: desktop/mobile</x:v>
      </x:c>
      <x:c r="H31" s="127" t="str">
        <x:v>Invalid блокируется</x:v>
      </x:c>
      <x:c r="I31" s="127" t="str">
        <x:v>Только старый callback HTTP 20.07</x:v>
      </x:c>
      <x:c r="J31" s="127" t="n">
        <x:v>0</x:v>
      </x:c>
      <x:c r="K31" s="127" t="str">
        <x:v>Console 404×4</x:v>
      </x:c>
      <x:c r="L31" s="127" t="str">
        <x:v>Web разрешается; mail DNS не свежий</x:v>
      </x:c>
      <x:c r="M31" s="127" t="str">
        <x:v>ЧАСТИЧНО</x:v>
      </x:c>
      <x:c r="N31" s="127" t="str">
        <x:v>QA 31.07; старый HTTP</x:v>
      </x:c>
    </x:row>
    <x:row r="32" ht="54" hidden="0" customHeight="1">
      <x:c r="A32" s="127" t="n">
        <x:v>30</x:v>
      </x:c>
      <x:c r="B32" s="127" t="str">
        <x:v>nousro.ru</x:v>
      </x:c>
      <x:c r="C32" s="127" t="str">
        <x:v>Включён</x:v>
      </x:c>
      <x:c r="D32" s="127" t="str">
        <x:v>Стандартный</x:v>
      </x:c>
      <x:c r="E32" s="127" t="str">
        <x:v>31.07 desktop/mobile: формы видны</x:v>
      </x:c>
      <x:c r="F32" s="127" t="n">
        <x:v>0</x:v>
      </x:c>
      <x:c r="G32" s="127" t="str">
        <x:v>Есть: desktop/mobile</x:v>
      </x:c>
      <x:c r="H32" s="127" t="str">
        <x:v>Invalid блокируется</x:v>
      </x:c>
      <x:c r="I32" s="127" t="str">
        <x:v>После deploy valid не отправлялся</x:v>
      </x:c>
      <x:c r="J32" s="127" t="n">
        <x:v>4</x:v>
      </x:c>
      <x:c r="K32" s="127" t="str">
        <x:v>Vue/offsetWidth ×4; console ×4</x:v>
      </x:c>
      <x:c r="L32" s="127" t="str">
        <x:v>Web разрешается; mail DNS не свежий</x:v>
      </x:c>
      <x:c r="M32" s="127" t="str">
        <x:v>ЧАСТИЧНО</x:v>
      </x:c>
      <x:c r="N32" s="127" t="str">
        <x:v>Standard invalid JSON</x:v>
      </x:c>
    </x:row>
    <x:row r="33" ht="54" hidden="0" customHeight="1">
      <x:c r="A33" s="127" t="n">
        <x:v>31</x:v>
      </x:c>
      <x:c r="B33" s="127" t="str">
        <x:v>dpomuc.ru</x:v>
      </x:c>
      <x:c r="C33" s="127" t="str">
        <x:v>Включён</x:v>
      </x:c>
      <x:c r="D33" s="127" t="str">
        <x:v>Стандартный</x:v>
      </x:c>
      <x:c r="E33" s="127" t="str">
        <x:v>31.07 desktop/mobile: формы видны</x:v>
      </x:c>
      <x:c r="F33" s="127" t="n">
        <x:v>0</x:v>
      </x:c>
      <x:c r="G33" s="127" t="str">
        <x:v>Есть: desktop/mobile</x:v>
      </x:c>
      <x:c r="H33" s="127" t="str">
        <x:v>Invalid блокируется</x:v>
      </x:c>
      <x:c r="I33" s="127" t="str">
        <x:v>После deploy valid не отправлялся</x:v>
      </x:c>
      <x:c r="J33" s="127" t="n">
        <x:v>0</x:v>
      </x:c>
      <x:c r="K33" s="127" t="str">
        <x:v>Нет pageErrors</x:v>
      </x:c>
      <x:c r="L33" s="127" t="str">
        <x:v>Web разрешается; mail DNS не свежий</x:v>
      </x:c>
      <x:c r="M33" s="127" t="str">
        <x:v>ЧАСТИЧНО</x:v>
      </x:c>
      <x:c r="N33" s="127" t="str">
        <x:v>Standard invalid JSON</x:v>
      </x:c>
    </x:row>
    <x:row r="34" ht="43.20000076293945" hidden="0" customHeight="1">
      <x:c r="A34" s="127" t="n">
        <x:v>32</x:v>
      </x:c>
      <x:c r="B34" s="127" t="str">
        <x:v>nousro-spb.ru</x:v>
      </x:c>
      <x:c r="C34" s="127" t="str">
        <x:v>Включён</x:v>
      </x:c>
      <x:c r="D34" s="127" t="str">
        <x:v>CF7</x:v>
      </x:c>
      <x:c r="E34" s="127" t="str">
        <x:v>31.07 desktop/mobile: формы видны</x:v>
      </x:c>
      <x:c r="F34" s="127" t="n">
        <x:v>0</x:v>
      </x:c>
      <x:c r="G34" s="127" t="str">
        <x:v>Есть: desktop/mobile</x:v>
      </x:c>
      <x:c r="H34" s="127" t="str">
        <x:v>Свежего CF7 server-side invalid-теста нет</x:v>
      </x:c>
      <x:c r="I34" s="127" t="str">
        <x:v>Свежая пара писем не доказана</x:v>
      </x:c>
      <x:c r="J34" s="127" t="n">
        <x:v>2</x:v>
      </x:c>
      <x:c r="K34" s="127" t="str">
        <x:v>parentNode null ×2</x:v>
      </x:c>
      <x:c r="L34" s="127" t="str">
        <x:v>Web разрешается; mail DNS не свежий</x:v>
      </x:c>
      <x:c r="M34" s="127" t="str">
        <x:v>ЧАСТИЧНО</x:v>
      </x:c>
      <x:c r="N34" s="127" t="str">
        <x:v>QA 31.07</x:v>
      </x:c>
    </x:row>
    <x:row r="35" ht="54" hidden="0" customHeight="1">
      <x:c r="A35" s="127" t="n">
        <x:v>33</x:v>
      </x:c>
      <x:c r="B35" s="127" t="str">
        <x:v>ed-kgd.ru</x:v>
      </x:c>
      <x:c r="C35" s="127" t="str">
        <x:v>Включён</x:v>
      </x:c>
      <x:c r="D35" s="127" t="str">
        <x:v>Стандартный</x:v>
      </x:c>
      <x:c r="E35" s="127" t="str">
        <x:v>31.07 desktop/mobile: формы видны</x:v>
      </x:c>
      <x:c r="F35" s="127" t="n">
        <x:v>0</x:v>
      </x:c>
      <x:c r="G35" s="127" t="str">
        <x:v>Есть: desktop/mobile</x:v>
      </x:c>
      <x:c r="H35" s="127" t="str">
        <x:v>Invalid блокируется</x:v>
      </x:c>
      <x:c r="I35" s="127" t="str">
        <x:v>После deploy valid не отправлялся</x:v>
      </x:c>
      <x:c r="J35" s="127" t="n">
        <x:v>0</x:v>
      </x:c>
      <x:c r="K35" s="127" t="str">
        <x:v>Нет pageErrors</x:v>
      </x:c>
      <x:c r="L35" s="127" t="str">
        <x:v>Web разрешается; mail DNS не свежий</x:v>
      </x:c>
      <x:c r="M35" s="127" t="str">
        <x:v>ЧАСТИЧНО</x:v>
      </x:c>
      <x:c r="N35" s="127" t="str">
        <x:v>Standard invalid JSON</x:v>
      </x:c>
    </x:row>
    <x:row r="36" ht="54" hidden="0" customHeight="1">
      <x:c r="A36" s="127" t="n">
        <x:v>34</x:v>
      </x:c>
      <x:c r="B36" s="127" t="str">
        <x:v>muc-vrn.ru</x:v>
      </x:c>
      <x:c r="C36" s="127" t="str">
        <x:v>Включён</x:v>
      </x:c>
      <x:c r="D36" s="127" t="str">
        <x:v>Стандартный</x:v>
      </x:c>
      <x:c r="E36" s="127" t="str">
        <x:v>31.07 desktop/mobile: формы видны</x:v>
      </x:c>
      <x:c r="F36" s="127" t="n">
        <x:v>0</x:v>
      </x:c>
      <x:c r="G36" s="127" t="str">
        <x:v>Есть: desktop/mobile</x:v>
      </x:c>
      <x:c r="H36" s="127" t="str">
        <x:v>Invalid блокируется</x:v>
      </x:c>
      <x:c r="I36" s="127" t="str">
        <x:v>После deploy valid не отправлялся</x:v>
      </x:c>
      <x:c r="J36" s="127" t="n">
        <x:v>6</x:v>
      </x:c>
      <x:c r="K36" s="127" t="str">
        <x:v>Три типа pageErrors, всего ×6</x:v>
      </x:c>
      <x:c r="L36" s="127" t="str">
        <x:v>Web разрешается; mail DNS не свежий</x:v>
      </x:c>
      <x:c r="M36" s="127" t="str">
        <x:v>ЧАСТИЧНО</x:v>
      </x:c>
      <x:c r="N36" s="127" t="str">
        <x:v>Standard invalid JSON</x:v>
      </x:c>
    </x:row>
    <x:row r="37" ht="64.80000305175781" hidden="0" customHeight="1">
      <x:c r="A37" s="127" t="n">
        <x:v>35</x:v>
      </x:c>
      <x:c r="B37" s="127" t="str">
        <x:v>ed-krd.ru</x:v>
      </x:c>
      <x:c r="C37" s="127" t="str">
        <x:v>Исключён</x:v>
      </x:c>
      <x:c r="D37" s="127" t="str">
        <x:v>Исключение</x:v>
      </x:c>
      <x:c r="E37" s="127" t="str">
        <x:v>31.07 desktop/mobile: сайт 200, стандартных форм нет</x:v>
      </x:c>
      <x:c r="F37" s="127" t="n">
        <x:v>0</x:v>
      </x:c>
      <x:c r="G37" s="127" t="str">
        <x:v>Есть: desktop/mobile</x:v>
      </x:c>
      <x:c r="H37" s="127" t="str">
        <x:v>Не применяется</x:v>
      </x:c>
      <x:c r="I37" s="127" t="str">
        <x:v>Не применяется</x:v>
      </x:c>
      <x:c r="J37" s="127" t="n">
        <x:v>0</x:v>
      </x:c>
      <x:c r="K37" s="127" t="str">
        <x:v>Нет pageErrors</x:v>
      </x:c>
      <x:c r="L37" s="127" t="str">
        <x:v>Web разрешается; mail DNS не свежий</x:v>
      </x:c>
      <x:c r="M37" s="127" t="str">
        <x:v>ИСКЛЮЧЕНО</x:v>
      </x:c>
      <x:c r="N37" s="127" t="str">
        <x:v>QA 31.07</x:v>
      </x:c>
    </x:row>
    <x:row r="38" ht="54" hidden="0" customHeight="1">
      <x:c r="A38" s="127" t="n">
        <x:v>36</x:v>
      </x:c>
      <x:c r="B38" s="127" t="str">
        <x:v>nousro-nn.ru</x:v>
      </x:c>
      <x:c r="C38" s="127" t="str">
        <x:v>Включён</x:v>
      </x:c>
      <x:c r="D38" s="127" t="str">
        <x:v>Стандартный</x:v>
      </x:c>
      <x:c r="E38" s="127" t="str">
        <x:v>31.07 desktop/mobile: формы видны</x:v>
      </x:c>
      <x:c r="F38" s="127" t="n">
        <x:v>0</x:v>
      </x:c>
      <x:c r="G38" s="127" t="str">
        <x:v>Есть: desktop/mobile</x:v>
      </x:c>
      <x:c r="H38" s="127" t="str">
        <x:v>Invalid блокируется</x:v>
      </x:c>
      <x:c r="I38" s="127" t="str">
        <x:v>Receipt 24.07 относится к старому файлу</x:v>
      </x:c>
      <x:c r="J38" s="127" t="n">
        <x:v>4</x:v>
      </x:c>
      <x:c r="K38" s="127" t="str">
        <x:v>Vue/offsetWidth ×4; console ×4</x:v>
      </x:c>
      <x:c r="L38" s="127" t="str">
        <x:v>Web разрешается; mail DNS не свежий</x:v>
      </x:c>
      <x:c r="M38" s="127" t="str">
        <x:v>ЧАСТИЧНО</x:v>
      </x:c>
      <x:c r="N38" s="127" t="str">
        <x:v>QA 31.07; old receipt</x:v>
      </x:c>
    </x:row>
    <x:row r="39" ht="75.5999984741211" hidden="0" customHeight="1">
      <x:c r="A39" s="128" t="n">
        <x:v>37</x:v>
      </x:c>
      <x:c r="B39" s="128" t="str">
        <x:v>shopap.ru</x:v>
      </x:c>
      <x:c r="C39" s="128" t="str">
        <x:v>Включён</x:v>
      </x:c>
      <x:c r="D39" s="128" t="str">
        <x:v>Стандартный</x:v>
      </x:c>
      <x:c r="E39" s="128" t="str">
        <x:v>31.07 desktop/mobile: формы видны</x:v>
      </x:c>
      <x:c r="F39" s="128" t="n">
        <x:v>0</x:v>
      </x:c>
      <x:c r="G39" s="128" t="str">
        <x:v>Есть: desktop/mobile</x:v>
      </x:c>
      <x:c r="H39" s="128" t="str">
        <x:v>Invalid блокируется</x:v>
      </x:c>
      <x:c r="I39" s="128" t="str">
        <x:v>Есть отдельные старые HTTP/receipt; нет свежей пары</x:v>
      </x:c>
      <x:c r="J39" s="128" t="n">
        <x:v>0</x:v>
      </x:c>
      <x:c r="K39" s="128" t="str">
        <x:v>Нет pageErrors</x:v>
      </x:c>
      <x:c r="L39" s="128" t="str">
        <x:v>Web разрешается; mail DNS не свежий</x:v>
      </x:c>
      <x:c r="M39" s="128" t="str">
        <x:v>ЧАСТИЧНО</x:v>
      </x:c>
      <x:c r="N39" s="128" t="str">
        <x:v>QA 31.07; old mail evidence</x:v>
      </x:c>
    </x:row>
  </x:sheetData>
  <x:mergeCells>
    <x:mergeCell ref="A1:N1"/>
    <x:mergeCell ref="A2:N2"/>
  </x:mergeCells>
  <x:conditionalFormatting sqref="M5:M39">
    <x:cfRule type="containsText" dxfId="24" priority="1" operator="containsText" text="ГОТОВО"/>
    <x:cfRule type="containsText" dxfId="25" priority="2" operator="containsText" text="ПЕРЕНЕСЁН"/>
    <x:cfRule type="containsText" dxfId="26" priority="3" operator="containsText" text="ЧАСТИЧНО"/>
    <x:cfRule type="containsText" dxfId="27" priority="4" operator="containsText" text="НУЖЕН QA"/>
    <x:cfRule type="containsText" dxfId="28" priority="5" operator="containsText" text="БЛОКИРОВАНО"/>
    <x:cfRule type="containsText" dxfId="29" priority="6" operator="containsText" text="ПРОТИВОРЕЧИЕ"/>
    <x:cfRule type="containsText" dxfId="30" priority="7" operator="containsText" text="НЕЯСНЫЙ"/>
    <x:cfRule type="containsText" dxfId="31" priority="8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f68b654817324a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30" hidden="0" customWidth="1"/>
    <x:col min="5" max="5" width="58" hidden="0" customWidth="1"/>
    <x:col min="6" max="6" width="48" hidden="0" customWidth="1"/>
  </x:cols>
  <x:sheetData>
    <x:row r="1" ht="30" customHeight="1">
      <x:c r="A1" s="112" t="str">
        <x:v>История требований, повторных замечаний и приёмки</x:v>
      </x:c>
    </x:row>
    <x:row r="2" ht="34" customHeight="1">
      <x:c r="A2" s="114" t="str">
        <x:v>Старая приёмка относится к версии на дату письма. Любая последующая общая публикация требует новой приёмки затронутого семейства.</x:v>
      </x:c>
    </x:row>
    <x:row r="4" ht="38" customHeight="1">
      <x:c r="A4" s="123" t="str">
        <x:v>Дата</x:v>
      </x:c>
      <x:c r="B4" s="124" t="str">
        <x:v>Gmail/thread ID</x:v>
      </x:c>
      <x:c r="C4" s="124" t="str">
        <x:v>Автор</x:v>
      </x:c>
      <x:c r="D4" s="124" t="str">
        <x:v>Объект</x:v>
      </x:c>
      <x:c r="E4" s="124" t="str">
        <x:v>Событие</x:v>
      </x:c>
      <x:c r="F4" s="125" t="str">
        <x:v>Влияние на ТЗ/статус</x:v>
      </x:c>
    </x:row>
    <x:row r="5" ht="86.4000015258789" hidden="0" customHeight="1">
      <x:c r="A5" s="126" t="str">
        <x:v>2026-07-18</x:v>
      </x:c>
      <x:c r="B5" s="126" t="str">
        <x:v>19f76757e8d2018e</x:v>
      </x:c>
      <x:c r="C5" s="126" t="str">
        <x:v>Виктор Хоров</x:v>
      </x:c>
      <x:c r="D5" s="126" t="str">
        <x:v>Общее ТЗ и исходная таблица 35 доменов</x:v>
      </x:c>
      <x:c r="E5" s="126" t="str">
        <x:v>Две унифицированные формы; исходные проблемы и пять исключений</x:v>
      </x:c>
      <x:c r="F5" s="126" t="str">
        <x:v>База ТЗ; поле email в раннем DOCX позже отменено</x:v>
      </x:c>
    </x:row>
    <x:row r="6" ht="32.400001525878906" hidden="0" customHeight="1">
      <x:c r="A6" s="127" t="str">
        <x:v>2026-07-19</x:v>
      </x:c>
      <x:c r="B6" s="127" t="str">
        <x:v>19f791e9ab018b74</x:v>
      </x:c>
      <x:c r="C6" s="127" t="str">
        <x:v>Клиент</x:v>
      </x:c>
      <x:c r="D6" s="127" t="str">
        <x:v>apreal.ru</x:v>
      </x:c>
      <x:c r="E6" s="127" t="str">
        <x:v>Повторные визуальные замечания</x:v>
      </x:c>
      <x:c r="F6" s="127" t="str">
        <x:v>Требование уточнено</x:v>
      </x:c>
    </x:row>
    <x:row r="7" ht="54" hidden="0" customHeight="1">
      <x:c r="A7" s="127" t="str">
        <x:v>2026-07-19</x:v>
      </x:c>
      <x:c r="B7" s="127" t="str">
        <x:v>19f7a48fddfacc95</x:v>
      </x:c>
      <x:c r="C7" s="127" t="str">
        <x:v>Клиент</x:v>
      </x:c>
      <x:c r="D7" s="127" t="str">
        <x:v>mca24.ru / apreal.ru</x:v>
      </x:c>
      <x:c r="E7" s="127" t="str">
        <x:v>Форма и поля сделаны не по требованию</x:v>
      </x:c>
      <x:c r="F7" s="127" t="str">
        <x:v>Задачи переоткрыты</x:v>
      </x:c>
    </x:row>
    <x:row r="8" ht="43.20000076293945" hidden="0" customHeight="1">
      <x:c r="A8" s="127" t="str">
        <x:v>2026-07-19</x:v>
      </x:c>
      <x:c r="B8" s="127" t="str">
        <x:v>19f7b96a68de655a</x:v>
      </x:c>
      <x:c r="C8" s="127" t="str">
        <x:v>Клиент</x:v>
      </x:c>
      <x:c r="D8" s="127" t="str">
        <x:v>elecktro.ru</x:v>
      </x:c>
      <x:c r="E8" s="127" t="str">
        <x:v>Отдельные визуальные замечания</x:v>
      </x:c>
      <x:c r="F8" s="127" t="str">
        <x:v>Требование включено в унификацию</x:v>
      </x:c>
    </x:row>
    <x:row r="9" ht="32.400001525878906" hidden="0" customHeight="1">
      <x:c r="A9" s="127" t="str">
        <x:v>2026-07-21</x:v>
      </x:c>
      <x:c r="B9" s="127" t="str">
        <x:v>19f83eda6be441dc</x:v>
      </x:c>
      <x:c r="C9" s="127" t="str">
        <x:v>Клиент</x:v>
      </x:c>
      <x:c r="D9" s="127" t="str">
        <x:v>apreal.ru</x:v>
      </x:c>
      <x:c r="E9" s="127" t="str">
        <x:v>Новые замечания к заявке</x:v>
      </x:c>
      <x:c r="F9" s="127" t="str">
        <x:v>Требование уточнено</x:v>
      </x:c>
    </x:row>
    <x:row r="10" ht="32.400001525878906" hidden="0" customHeight="1">
      <x:c r="A10" s="127" t="str">
        <x:v>2026-07-21</x:v>
      </x:c>
      <x:c r="B10" s="127" t="str">
        <x:v>19f84a42fe361003</x:v>
      </x:c>
      <x:c r="C10" s="127" t="str">
        <x:v>Клиент</x:v>
      </x:c>
      <x:c r="D10" s="127" t="str">
        <x:v>med-license.ru</x:v>
      </x:c>
      <x:c r="E10" s="127" t="str">
        <x:v>Ложный успех/нет письма</x:v>
      </x:c>
      <x:c r="F10" s="127" t="str">
        <x:v>Нужна реальная доставка</x:v>
      </x:c>
    </x:row>
    <x:row r="11" ht="32.400001525878906" hidden="0" customHeight="1">
      <x:c r="A11" s="127" t="str">
        <x:v>2026-07-21</x:v>
      </x:c>
      <x:c r="B11" s="127" t="str">
        <x:v>19f84a7d318026f5</x:v>
      </x:c>
      <x:c r="C11" s="127" t="str">
        <x:v>Клиент</x:v>
      </x:c>
      <x:c r="D11" s="127" t="str">
        <x:v>mhsl.ru</x:v>
      </x:c>
      <x:c r="E11" s="127" t="str">
        <x:v>Ложный успех/нет письма</x:v>
      </x:c>
      <x:c r="F11" s="127" t="str">
        <x:v>Нужна реальная доставка</x:v>
      </x:c>
    </x:row>
    <x:row r="12" ht="32.400001525878906" hidden="0" customHeight="1">
      <x:c r="A12" s="127" t="str">
        <x:v>2026-07-21</x:v>
      </x:c>
      <x:c r="B12" s="127" t="str">
        <x:v>19f84b7b5fc9daf0</x:v>
      </x:c>
      <x:c r="C12" s="127" t="str">
        <x:v>Клиент</x:v>
      </x:c>
      <x:c r="D12" s="127" t="str">
        <x:v>fste.ru</x:v>
      </x:c>
      <x:c r="E12" s="127" t="str">
        <x:v>UX после отправки</x:v>
      </x:c>
      <x:c r="F12" s="127" t="str">
        <x:v>Не уходить на пустую страницу</x:v>
      </x:c>
    </x:row>
    <x:row r="13" ht="32.400001525878906" hidden="0" customHeight="1">
      <x:c r="A13" s="127" t="str">
        <x:v>2026-07-21</x:v>
      </x:c>
      <x:c r="B13" s="127" t="str">
        <x:v>19f85f87b29fb5f5</x:v>
      </x:c>
      <x:c r="C13" s="127" t="str">
        <x:v>Клиент</x:v>
      </x:c>
      <x:c r="D13" s="127" t="str">
        <x:v>otxodi.ru</x:v>
      </x:c>
      <x:c r="E13" s="127" t="str">
        <x:v>CTA/форма/визуальные замечания</x:v>
      </x:c>
      <x:c r="F13" s="127" t="str">
        <x:v>Задача уточнена</x:v>
      </x:c>
    </x:row>
    <x:row r="14" ht="32.400001525878906" hidden="0" customHeight="1">
      <x:c r="A14" s="127" t="str">
        <x:v>2026-07-21</x:v>
      </x:c>
      <x:c r="B14" s="127" t="str">
        <x:v>19f85fde5bf0b12f</x:v>
      </x:c>
      <x:c r="C14" s="127" t="str">
        <x:v>Клиент</x:v>
      </x:c>
      <x:c r="D14" s="127" t="str">
        <x:v>lfsb.ru</x:v>
      </x:c>
      <x:c r="E14" s="127" t="str">
        <x:v>UX после отправки</x:v>
      </x:c>
      <x:c r="F14" s="127" t="str">
        <x:v>Не уходить на пустую страницу</x:v>
      </x:c>
    </x:row>
    <x:row r="15" ht="43.20000076293945" hidden="0" customHeight="1">
      <x:c r="A15" s="127" t="str">
        <x:v>2026-07-22</x:v>
      </x:c>
      <x:c r="B15" s="127" t="str">
        <x:v>19f88c0521ec6e9b</x:v>
      </x:c>
      <x:c r="C15" s="127" t="str">
        <x:v>Клиент</x:v>
      </x:c>
      <x:c r="D15" s="127" t="str">
        <x:v>apreal.spb.ru</x:v>
      </x:c>
      <x:c r="E15" s="127" t="str">
        <x:v>Captcha/layout</x:v>
      </x:c>
      <x:c r="F15" s="127" t="str">
        <x:v>Исправление требовалось повторно</x:v>
      </x:c>
    </x:row>
    <x:row r="16" ht="54" hidden="0" customHeight="1">
      <x:c r="A16" s="127" t="str">
        <x:v>2026-07-22</x:v>
      </x:c>
      <x:c r="B16" s="127" t="str">
        <x:v>19f88d9b1e7d12ec</x:v>
      </x:c>
      <x:c r="C16" s="127" t="str">
        <x:v>Клиент</x:v>
      </x:c>
      <x:c r="D16" s="127" t="str">
        <x:v>license39.ru</x:v>
      </x:c>
      <x:c r="E16" s="127" t="str">
        <x:v>Доставка и 404</x:v>
      </x:c>
      <x:c r="F16" s="127" t="str">
        <x:v>Требовалось исправление обеих форм</x:v>
      </x:c>
    </x:row>
    <x:row r="17" ht="32.400001525878906" hidden="0" customHeight="1">
      <x:c r="A17" s="127" t="str">
        <x:v>2026-07-22</x:v>
      </x:c>
      <x:c r="B17" s="127" t="str">
        <x:v>19f88e0d74b8928e</x:v>
      </x:c>
      <x:c r="C17" s="127" t="str">
        <x:v>Клиент</x:v>
      </x:c>
      <x:c r="D17" s="127" t="str">
        <x:v>apreal36.ru</x:v>
      </x:c>
      <x:c r="E17" s="127" t="str">
        <x:v>Ложный успех/нет письма</x:v>
      </x:c>
      <x:c r="F17" s="127" t="str">
        <x:v>Нужна реальная доставка</x:v>
      </x:c>
    </x:row>
    <x:row r="18" ht="43.20000076293945" hidden="0" customHeight="1">
      <x:c r="A18" s="127" t="str">
        <x:v>2026-07-22</x:v>
      </x:c>
      <x:c r="B18" s="127" t="str">
        <x:v>19f88ec9dbdfcdf0</x:v>
      </x:c>
      <x:c r="C18" s="127" t="str">
        <x:v>Клиент</x:v>
      </x:c>
      <x:c r="D18" s="127" t="str">
        <x:v>apreal-nn.ru</x:v>
      </x:c>
      <x:c r="E18" s="127" t="str">
        <x:v>Маска телефона и доставка</x:v>
      </x:c>
      <x:c r="F18" s="127" t="str">
        <x:v>Смягчить ввод; проверить письмо</x:v>
      </x:c>
    </x:row>
    <x:row r="19" ht="54" hidden="0" customHeight="1">
      <x:c r="A19" s="127" t="str">
        <x:v>2026-07-22</x:v>
      </x:c>
      <x:c r="B19" s="127" t="str">
        <x:v>19f8913e3dde5886</x:v>
      </x:c>
      <x:c r="C19" s="127" t="str">
        <x:v>Клиент</x:v>
      </x:c>
      <x:c r="D19" s="127" t="str">
        <x:v>apreal72.ru</x:v>
      </x:c>
      <x:c r="E19" s="127" t="str">
        <x:v>Сайт и формы</x:v>
      </x:c>
      <x:c r="F19" s="127" t="str">
        <x:v>Требовалось восстановление и доставка</x:v>
      </x:c>
    </x:row>
    <x:row r="20" ht="43.20000076293945" hidden="0" customHeight="1">
      <x:c r="A20" s="127" t="str">
        <x:v>2026-07-22</x:v>
      </x:c>
      <x:c r="B20" s="127" t="str">
        <x:v>19f891d2bdc8ae00</x:v>
      </x:c>
      <x:c r="C20" s="127" t="str">
        <x:v>Клиент</x:v>
      </x:c>
      <x:c r="D20" s="127" t="str">
        <x:v>shopap.ru</x:v>
      </x:c>
      <x:c r="E20" s="127" t="str">
        <x:v>Отправитель Beget</x:v>
      </x:c>
      <x:c r="F20" s="127" t="str">
        <x:v>Нужна доменная идентичность</x:v>
      </x:c>
    </x:row>
    <x:row r="21" ht="32.400001525878906" hidden="0" customHeight="1">
      <x:c r="A21" s="127" t="str">
        <x:v>2026-07-22</x:v>
      </x:c>
      <x:c r="B21" s="127" t="str">
        <x:v>19f8936c6a649175</x:v>
      </x:c>
      <x:c r="C21" s="127" t="str">
        <x:v>Клиент</x:v>
      </x:c>
      <x:c r="D21" s="127" t="str">
        <x:v>nousro.ru</x:v>
      </x:c>
      <x:c r="E21" s="127" t="str">
        <x:v>Убрать тип лица и email</x:v>
      </x:c>
      <x:c r="F21" s="127" t="str">
        <x:v>Поздняя версия полей</x:v>
      </x:c>
    </x:row>
    <x:row r="22" ht="43.20000076293945" hidden="0" customHeight="1">
      <x:c r="A22" s="127" t="str">
        <x:v>2026-07-22</x:v>
      </x:c>
      <x:c r="B22" s="127" t="str">
        <x:v>19f8945e74138f0f</x:v>
      </x:c>
      <x:c r="C22" s="127" t="str">
        <x:v>Клиент</x:v>
      </x:c>
      <x:c r="D22" s="127" t="str">
        <x:v>nousro-spb.ru</x:v>
      </x:c>
      <x:c r="E22" s="127" t="str">
        <x:v>Нет результата отправки</x:v>
      </x:c>
      <x:c r="F22" s="127" t="str">
        <x:v>Нужен честный success/failure</x:v>
      </x:c>
    </x:row>
    <x:row r="23" ht="43.20000076293945" hidden="0" customHeight="1">
      <x:c r="A23" s="127" t="str">
        <x:v>2026-07-22</x:v>
      </x:c>
      <x:c r="B23" s="127" t="str">
        <x:v>19f894bb77b5a48e</x:v>
      </x:c>
      <x:c r="C23" s="127" t="str">
        <x:v>Клиент</x:v>
      </x:c>
      <x:c r="D23" s="127" t="str">
        <x:v>muc-vrn.ru</x:v>
      </x:c>
      <x:c r="E23" s="127" t="str">
        <x:v>Визуальные/поведенческие замечания</x:v>
      </x:c>
      <x:c r="F23" s="127" t="str">
        <x:v>Требование уточнено</x:v>
      </x:c>
    </x:row>
    <x:row r="24" ht="43.20000076293945" hidden="0" customHeight="1">
      <x:c r="A24" s="127" t="str">
        <x:v>2026-07-23</x:v>
      </x:c>
      <x:c r="B24" s="127" t="str">
        <x:v>19f90007765f9ed6</x:v>
      </x:c>
      <x:c r="C24" s="127" t="str">
        <x:v>Клиент</x:v>
      </x:c>
      <x:c r="D24" s="127" t="str">
        <x:v>apreal.spb.ru</x:v>
      </x:c>
      <x:c r="E24" s="127" t="str">
        <x:v>«Никак не исправлено»</x:v>
      </x:c>
      <x:c r="F24" s="127" t="str">
        <x:v>Предыдущее закрытие признано ложным</x:v>
      </x:c>
    </x:row>
    <x:row r="25" ht="32.400001525878906" hidden="0" customHeight="1">
      <x:c r="A25" s="127" t="str">
        <x:v>2026-07-23</x:v>
      </x:c>
      <x:c r="B25" s="127" t="str">
        <x:v>19f90041e137ee00</x:v>
      </x:c>
      <x:c r="C25" s="127" t="str">
        <x:v>Клиент</x:v>
      </x:c>
      <x:c r="D25" s="127" t="str">
        <x:v>license39.ru</x:v>
      </x:c>
      <x:c r="E25" s="127" t="str">
        <x:v>Повторное замечание</x:v>
      </x:c>
      <x:c r="F25" s="127" t="str">
        <x:v>Задача снова открыта</x:v>
      </x:c>
    </x:row>
    <x:row r="26" ht="32.400001525878906" hidden="0" customHeight="1">
      <x:c r="A26" s="127" t="str">
        <x:v>2026-07-23</x:v>
      </x:c>
      <x:c r="B26" s="127" t="str">
        <x:v>19f900a3dcd6aa12</x:v>
      </x:c>
      <x:c r="C26" s="127" t="str">
        <x:v>Клиент</x:v>
      </x:c>
      <x:c r="D26" s="127" t="str">
        <x:v>apreal36.ru</x:v>
      </x:c>
      <x:c r="E26" s="127" t="str">
        <x:v>Повторное замечание</x:v>
      </x:c>
      <x:c r="F26" s="127" t="str">
        <x:v>Задача снова открыта</x:v>
      </x:c>
    </x:row>
    <x:row r="27" ht="32.400001525878906" hidden="0" customHeight="1">
      <x:c r="A27" s="127" t="str">
        <x:v>2026-07-23</x:v>
      </x:c>
      <x:c r="B27" s="127" t="str">
        <x:v>19f900cb24eb192c</x:v>
      </x:c>
      <x:c r="C27" s="127" t="str">
        <x:v>Клиент</x:v>
      </x:c>
      <x:c r="D27" s="127" t="str">
        <x:v>apreal-nn.ru</x:v>
      </x:c>
      <x:c r="E27" s="127" t="str">
        <x:v>Повторное замечание</x:v>
      </x:c>
      <x:c r="F27" s="127" t="str">
        <x:v>Задача снова открыта</x:v>
      </x:c>
    </x:row>
    <x:row r="28" ht="32.400001525878906" hidden="0" customHeight="1">
      <x:c r="A28" s="127" t="str">
        <x:v>2026-07-23</x:v>
      </x:c>
      <x:c r="B28" s="127" t="str">
        <x:v>19f901b89f3bd18c</x:v>
      </x:c>
      <x:c r="C28" s="127" t="str">
        <x:v>Клиент</x:v>
      </x:c>
      <x:c r="D28" s="127" t="str">
        <x:v>nousro-nn.ru</x:v>
      </x:c>
      <x:c r="E28" s="127" t="str">
        <x:v>Убрать email/исправить форму</x:v>
      </x:c>
      <x:c r="F28" s="127" t="str">
        <x:v>Поздняя версия полей</x:v>
      </x:c>
    </x:row>
    <x:row r="29" ht="43.20000076293945" hidden="0" customHeight="1">
      <x:c r="A29" s="127" t="str">
        <x:v>2026-07-23</x:v>
      </x:c>
      <x:c r="B29" s="127" t="str">
        <x:v>19f901f92d897c47</x:v>
      </x:c>
      <x:c r="C29" s="127" t="str">
        <x:v>Клиент</x:v>
      </x:c>
      <x:c r="D29" s="127" t="str">
        <x:v>shopap.ru</x:v>
      </x:c>
      <x:c r="E29" s="127" t="str">
        <x:v>Дополнительные поля/поведение</x:v>
      </x:c>
      <x:c r="F29" s="127" t="str">
        <x:v>Требование уточнено</x:v>
      </x:c>
    </x:row>
    <x:row r="30" ht="54" hidden="0" customHeight="1">
      <x:c r="A30" s="127" t="str">
        <x:v>2026-07-24</x:v>
      </x:c>
      <x:c r="B30" s="127" t="str">
        <x:v>19f929459b39be8a</x:v>
      </x:c>
      <x:c r="C30" s="127" t="str">
        <x:v>Клиент</x:v>
      </x:c>
      <x:c r="D30" s="127" t="str">
        <x:v>Несколько сайтов</x:v>
      </x:c>
      <x:c r="E30" s="127" t="str">
        <x:v>Новые вложения после промежуточного отчёта</x:v>
      </x:c>
      <x:c r="F30" s="127" t="str">
        <x:v>Старые закрытия не финальны</x:v>
      </x:c>
    </x:row>
    <x:row r="31" ht="21.600000381469727" hidden="0" customHeight="1">
      <x:c r="A31" s="127" t="str">
        <x:v>2026-07-24</x:v>
      </x:c>
      <x:c r="B31" s="127" t="str">
        <x:v>19f93f6222b8b5fc</x:v>
      </x:c>
      <x:c r="C31" s="127" t="str">
        <x:v>Клиент</x:v>
      </x:c>
      <x:c r="D31" s="127" t="str">
        <x:v>lfsb.ru</x:v>
      </x:c>
      <x:c r="E31" s="127" t="str">
        <x:v>«Все ОК»</x:v>
      </x:c>
      <x:c r="F31" s="127" t="str">
        <x:v>Историческая приёмка</x:v>
      </x:c>
    </x:row>
    <x:row r="32" ht="54" hidden="0" customHeight="1">
      <x:c r="A32" s="127" t="str">
        <x:v>2026-07-24</x:v>
      </x:c>
      <x:c r="B32" s="127" t="str">
        <x:v>19f946df58027438</x:v>
      </x:c>
      <x:c r="C32" s="127" t="str">
        <x:v>Клиент</x:v>
      </x:c>
      <x:c r="D32" s="127" t="str">
        <x:v>otxodi.ru / mchs-spb.ru</x:v>
      </x:c>
      <x:c r="E32" s="127" t="str">
        <x:v>«Все ОК» и mail evidence</x:v>
      </x:c>
      <x:c r="F32" s="127" t="str">
        <x:v>Историческая приёмка; MCHS-SPB подтверждён</x:v>
      </x:c>
    </x:row>
    <x:row r="33" ht="43.20000076293945" hidden="0" customHeight="1">
      <x:c r="A33" s="127" t="str">
        <x:v>2026-07-24</x:v>
      </x:c>
      <x:c r="B33" s="127" t="str">
        <x:v>19f9364d5055062a</x:v>
      </x:c>
      <x:c r="C33" s="127" t="str">
        <x:v>Клиент</x:v>
      </x:c>
      <x:c r="D33" s="127" t="str">
        <x:v>docp.ru</x:v>
      </x:c>
      <x:c r="E33" s="127" t="str">
        <x:v>Повторные замечания; позже «Все ОК»</x:v>
      </x:c>
      <x:c r="F33" s="127" t="str">
        <x:v>Историческая приёмка</x:v>
      </x:c>
    </x:row>
    <x:row r="34" ht="43.20000076293945" hidden="0" customHeight="1">
      <x:c r="A34" s="127" t="str">
        <x:v>2026-07-27</x:v>
      </x:c>
      <x:c r="B34" s="127" t="str">
        <x:v>19fa20e093abee5c</x:v>
      </x:c>
      <x:c r="C34" s="127" t="str">
        <x:v>Клиент</x:v>
      </x:c>
      <x:c r="D34" s="127" t="str">
        <x:v>apreal.ru admin</x:v>
      </x:c>
      <x:c r="E34" s="127" t="str">
        <x:v>Благодарность после передачи URL входа</x:v>
      </x:c>
      <x:c r="F34" s="127" t="str">
        <x:v>Задача закрыта</x:v>
      </x:c>
    </x:row>
    <x:row r="35" ht="32.400001525878906" hidden="0" customHeight="1">
      <x:c r="A35" s="127" t="str">
        <x:v>2026-07-29</x:v>
      </x:c>
      <x:c r="B35" s="127" t="str">
        <x:v>19fadcf91905b5e6</x:v>
      </x:c>
      <x:c r="C35" s="127" t="str">
        <x:v>Клиент</x:v>
      </x:c>
      <x:c r="D35" s="127" t="str">
        <x:v>medlic.spb.ru</x:v>
      </x:c>
      <x:c r="E35" s="127" t="str">
        <x:v>Новые замечания к формам</x:v>
      </x:c>
      <x:c r="F35" s="127" t="str">
        <x:v>Form-задача не принята</x:v>
      </x:c>
    </x:row>
    <x:row r="36" ht="108" hidden="0" customHeight="1">
      <x:c r="A36" s="127" t="str">
        <x:v>2026-07-30</x:v>
      </x:c>
      <x:c r="B36" s="127" t="str">
        <x:v>19fb3e6002599f23</x:v>
      </x:c>
      <x:c r="C36" s="127" t="str">
        <x:v>Клиент</x:v>
      </x:c>
      <x:c r="D36" s="127" t="str">
        <x:v>Весь портфель</x:v>
      </x:c>
      <x:c r="E36" s="127" t="str">
        <x:v>Незавершённые работы, повторяющиеся ошибки, сделано на одном сайте вместо семейства</x:v>
      </x:c>
      <x:c r="F36" s="127" t="str">
        <x:v>Общий form-портфель переоткрыт; сообщение восстановлено по браузерному скриншоту</x:v>
      </x:c>
    </x:row>
    <x:row r="37" ht="118.80000305175781" hidden="0" customHeight="1">
      <x:c r="A37" s="128" t="str">
        <x:v>2026-07-31</x:v>
      </x:c>
      <x:c r="B37" s="128" t="str">
        <x:v>локальный QA</x:v>
      </x:c>
      <x:c r="C37" s="128" t="str">
        <x:v>Система</x:v>
      </x:c>
      <x:c r="D37" s="128" t="str">
        <x:v>35 доменов / 70 viewport</x:v>
      </x:c>
      <x:c r="E37" s="128" t="str">
        <x:v>UI открывается; valid mail намеренно не отправлялся; pageErrors не считались failure</x:v>
      </x:c>
      <x:c r="F37" s="128" t="str">
        <x:v>Доказана только часть Definition of Done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479508830748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4" hidden="0" customWidth="1"/>
    <x:col min="4" max="4" width="34" hidden="0" customWidth="1"/>
    <x:col min="5" max="5" width="28" hidden="0" customWidth="1"/>
    <x:col min="6" max="6" width="58" hidden="0" customWidth="1"/>
    <x:col min="7" max="7" width="50" hidden="0" customWidth="1"/>
    <x:col min="8" max="8" width="28" hidden="0" customWidth="1"/>
  </x:cols>
  <x:sheetData>
    <x:row r="1" ht="30" customHeight="1">
      <x:c r="A1" s="112" t="str">
        <x:v>Реестр источников аудита</x:v>
      </x:c>
    </x:row>
    <x:row r="2" ht="34" customHeight="1">
      <x:c r="A2" s="114" t="str">
        <x:v>60 Gmail-цепочек, 55 DOCX-вложений и ключевые локальные артефакты. Пароли, raw MIME и персональные секреты намеренно не включены.</x:v>
      </x:c>
    </x:row>
    <x:row r="4" ht="38" customHeight="1">
      <x:c r="A4" s="123" t="str">
        <x:v>№</x:v>
      </x:c>
      <x:c r="B4" s="124" t="str">
        <x:v>Тип</x:v>
      </x:c>
      <x:c r="C4" s="124" t="str">
        <x:v>Дата</x:v>
      </x:c>
      <x:c r="D4" s="124" t="str">
        <x:v>Message/File ID</x:v>
      </x:c>
      <x:c r="E4" s="124" t="str">
        <x:v>Thread ID</x:v>
      </x:c>
      <x:c r="F4" s="124" t="str">
        <x:v>Тема/файл/назначение</x:v>
      </x:c>
      <x:c r="G4" s="124" t="str">
        <x:v>Примечание</x:v>
      </x:c>
      <x:c r="H4" s="125" t="str">
        <x:v>Размер/статус</x:v>
      </x:c>
    </x:row>
    <x:row r="5" ht="97.19999694824219" hidden="0" customHeight="1">
      <x:c r="A5" s="126" t="n">
        <x:v>1</x:v>
      </x:c>
      <x:c r="B5" s="126" t="str">
        <x:v>Gmail thread</x:v>
      </x:c>
      <x:c r="C5" s="126" t="str"/>
      <x:c r="D5" s="126" t="str">
        <x:v>19e4aba813f47eb3</x:v>
      </x:c>
      <x:c r="E5" s="126" t="str">
        <x:v>19e4aba813f47eb3</x:v>
      </x:c>
      <x:c r="F5" s="126" t="str">
        <x:v>Корпус переписки АП-Риал</x:v>
      </x:c>
      <x:c r="G5" s="126" t="str">
        <x:v>Полная цепочка прочитана в рамках аудита; содержимое не дублируется в книге</x:v>
      </x:c>
      <x:c r="H5" s="126"/>
    </x:row>
    <x:row r="6" ht="97.19999694824219" hidden="0" customHeight="1">
      <x:c r="A6" s="127" t="n">
        <x:v>2</x:v>
      </x:c>
      <x:c r="B6" s="127" t="str">
        <x:v>Gmail thread</x:v>
      </x:c>
      <x:c r="C6" s="127" t="str"/>
      <x:c r="D6" s="127" t="str">
        <x:v>19ec5adc17b24f12</x:v>
      </x:c>
      <x:c r="E6" s="127" t="str">
        <x:v>19ec5adc17b24f12</x:v>
      </x:c>
      <x:c r="F6" s="127" t="str">
        <x:v>Корпус переписки АП-Риал</x:v>
      </x:c>
      <x:c r="G6" s="127" t="str">
        <x:v>Полная цепочка прочитана в рамках аудита; содержимое не дублируется в книге</x:v>
      </x:c>
      <x:c r="H6" s="127"/>
    </x:row>
    <x:row r="7" ht="97.19999694824219" hidden="0" customHeight="1">
      <x:c r="A7" s="127" t="n">
        <x:v>3</x:v>
      </x:c>
      <x:c r="B7" s="127" t="str">
        <x:v>Gmail thread</x:v>
      </x:c>
      <x:c r="C7" s="127" t="str"/>
      <x:c r="D7" s="127" t="str">
        <x:v>19ef4b71efc4396a</x:v>
      </x:c>
      <x:c r="E7" s="127" t="str">
        <x:v>19ef4b71efc4396a</x:v>
      </x:c>
      <x:c r="F7" s="127" t="str">
        <x:v>Корпус переписки АП-Риал</x:v>
      </x:c>
      <x:c r="G7" s="127" t="str">
        <x:v>Полная цепочка прочитана в рамках аудита; содержимое не дублируется в книге</x:v>
      </x:c>
      <x:c r="H7" s="127"/>
    </x:row>
    <x:row r="8" ht="97.19999694824219" hidden="0" customHeight="1">
      <x:c r="A8" s="127" t="n">
        <x:v>4</x:v>
      </x:c>
      <x:c r="B8" s="127" t="str">
        <x:v>Gmail thread</x:v>
      </x:c>
      <x:c r="C8" s="127" t="str"/>
      <x:c r="D8" s="127" t="str">
        <x:v>19ef4b8ea62c2dee</x:v>
      </x:c>
      <x:c r="E8" s="127" t="str">
        <x:v>19ef4b8ea62c2dee</x:v>
      </x:c>
      <x:c r="F8" s="127" t="str">
        <x:v>Корпус переписки АП-Риал</x:v>
      </x:c>
      <x:c r="G8" s="127" t="str">
        <x:v>Полная цепочка прочитана в рамках аудита; содержимое не дублируется в книге</x:v>
      </x:c>
      <x:c r="H8" s="127"/>
    </x:row>
    <x:row r="9" ht="97.19999694824219" hidden="0" customHeight="1">
      <x:c r="A9" s="127" t="n">
        <x:v>5</x:v>
      </x:c>
      <x:c r="B9" s="127" t="str">
        <x:v>Gmail thread</x:v>
      </x:c>
      <x:c r="C9" s="127" t="str"/>
      <x:c r="D9" s="127" t="str">
        <x:v>19f12b845ee6da36</x:v>
      </x:c>
      <x:c r="E9" s="127" t="str">
        <x:v>19f12b845ee6da36</x:v>
      </x:c>
      <x:c r="F9" s="127" t="str">
        <x:v>Корпус переписки АП-Риал</x:v>
      </x:c>
      <x:c r="G9" s="127" t="str">
        <x:v>Полная цепочка прочитана в рамках аудита; содержимое не дублируется в книге</x:v>
      </x:c>
      <x:c r="H9" s="127"/>
    </x:row>
    <x:row r="10" ht="97.19999694824219" hidden="0" customHeight="1">
      <x:c r="A10" s="127" t="n">
        <x:v>6</x:v>
      </x:c>
      <x:c r="B10" s="127" t="str">
        <x:v>Gmail thread</x:v>
      </x:c>
      <x:c r="C10" s="127" t="str"/>
      <x:c r="D10" s="127" t="str">
        <x:v>19f2654d2533bc2d</x:v>
      </x:c>
      <x:c r="E10" s="127" t="str">
        <x:v>19f2654d2533bc2d</x:v>
      </x:c>
      <x:c r="F10" s="127" t="str">
        <x:v>Корпус переписки АП-Риал</x:v>
      </x:c>
      <x:c r="G10" s="127" t="str">
        <x:v>Полная цепочка прочитана в рамках аудита; содержимое не дублируется в книге</x:v>
      </x:c>
      <x:c r="H10" s="127"/>
    </x:row>
    <x:row r="11" ht="97.19999694824219" hidden="0" customHeight="1">
      <x:c r="A11" s="127" t="n">
        <x:v>7</x:v>
      </x:c>
      <x:c r="B11" s="127" t="str">
        <x:v>Gmail thread</x:v>
      </x:c>
      <x:c r="C11" s="127" t="str"/>
      <x:c r="D11" s="127" t="str">
        <x:v>19f265549d4fe49a</x:v>
      </x:c>
      <x:c r="E11" s="127" t="str">
        <x:v>19f265549d4fe49a</x:v>
      </x:c>
      <x:c r="F11" s="127" t="str">
        <x:v>Корпус переписки АП-Риал</x:v>
      </x:c>
      <x:c r="G11" s="127" t="str">
        <x:v>Полная цепочка прочитана в рамках аудита; содержимое не дублируется в книге</x:v>
      </x:c>
      <x:c r="H11" s="127"/>
    </x:row>
    <x:row r="12" ht="97.19999694824219" hidden="0" customHeight="1">
      <x:c r="A12" s="127" t="n">
        <x:v>8</x:v>
      </x:c>
      <x:c r="B12" s="127" t="str">
        <x:v>Gmail thread</x:v>
      </x:c>
      <x:c r="C12" s="127" t="str"/>
      <x:c r="D12" s="127" t="str">
        <x:v>19f2655ab1e26207</x:v>
      </x:c>
      <x:c r="E12" s="127" t="str">
        <x:v>19f2655ab1e26207</x:v>
      </x:c>
      <x:c r="F12" s="127" t="str">
        <x:v>Корпус переписки АП-Риал</x:v>
      </x:c>
      <x:c r="G12" s="127" t="str">
        <x:v>Полная цепочка прочитана в рамках аудита; содержимое не дублируется в книге</x:v>
      </x:c>
      <x:c r="H12" s="127"/>
    </x:row>
    <x:row r="13" ht="97.19999694824219" hidden="0" customHeight="1">
      <x:c r="A13" s="127" t="n">
        <x:v>9</x:v>
      </x:c>
      <x:c r="B13" s="127" t="str">
        <x:v>Gmail thread</x:v>
      </x:c>
      <x:c r="C13" s="127" t="str"/>
      <x:c r="D13" s="127" t="str">
        <x:v>19f2b9dc17ae2cd2</x:v>
      </x:c>
      <x:c r="E13" s="127" t="str">
        <x:v>19f2b9dc17ae2cd2</x:v>
      </x:c>
      <x:c r="F13" s="127" t="str">
        <x:v>Корпус переписки АП-Риал</x:v>
      </x:c>
      <x:c r="G13" s="127" t="str">
        <x:v>Полная цепочка прочитана в рамках аудита; содержимое не дублируется в книге</x:v>
      </x:c>
      <x:c r="H13" s="127"/>
    </x:row>
    <x:row r="14" ht="97.19999694824219" hidden="0" customHeight="1">
      <x:c r="A14" s="127" t="n">
        <x:v>10</x:v>
      </x:c>
      <x:c r="B14" s="127" t="str">
        <x:v>Gmail thread</x:v>
      </x:c>
      <x:c r="C14" s="127" t="str"/>
      <x:c r="D14" s="127" t="str">
        <x:v>19f2b9e047a13876</x:v>
      </x:c>
      <x:c r="E14" s="127" t="str">
        <x:v>19f2b9e047a13876</x:v>
      </x:c>
      <x:c r="F14" s="127" t="str">
        <x:v>Корпус переписки АП-Риал</x:v>
      </x:c>
      <x:c r="G14" s="127" t="str">
        <x:v>Полная цепочка прочитана в рамках аудита; содержимое не дублируется в книге</x:v>
      </x:c>
      <x:c r="H14" s="127"/>
    </x:row>
    <x:row r="15" ht="97.19999694824219" hidden="0" customHeight="1">
      <x:c r="A15" s="127" t="n">
        <x:v>11</x:v>
      </x:c>
      <x:c r="B15" s="127" t="str">
        <x:v>Gmail thread</x:v>
      </x:c>
      <x:c r="C15" s="127" t="str"/>
      <x:c r="D15" s="127" t="str">
        <x:v>19f2b9e20f83cd2b</x:v>
      </x:c>
      <x:c r="E15" s="127" t="str">
        <x:v>19f2b9e20f83cd2b</x:v>
      </x:c>
      <x:c r="F15" s="127" t="str">
        <x:v>Корпус переписки АП-Риал</x:v>
      </x:c>
      <x:c r="G15" s="127" t="str">
        <x:v>Полная цепочка прочитана в рамках аудита; содержимое не дублируется в книге</x:v>
      </x:c>
      <x:c r="H15" s="127"/>
    </x:row>
    <x:row r="16" ht="97.19999694824219" hidden="0" customHeight="1">
      <x:c r="A16" s="127" t="n">
        <x:v>12</x:v>
      </x:c>
      <x:c r="B16" s="127" t="str">
        <x:v>Gmail thread</x:v>
      </x:c>
      <x:c r="C16" s="127" t="str"/>
      <x:c r="D16" s="127" t="str">
        <x:v>19f2b9e71d5d781b</x:v>
      </x:c>
      <x:c r="E16" s="127" t="str">
        <x:v>19f2b9e71d5d781b</x:v>
      </x:c>
      <x:c r="F16" s="127" t="str">
        <x:v>Корпус переписки АП-Риал</x:v>
      </x:c>
      <x:c r="G16" s="127" t="str">
        <x:v>Полная цепочка прочитана в рамках аудита; содержимое не дублируется в книге</x:v>
      </x:c>
      <x:c r="H16" s="127"/>
    </x:row>
    <x:row r="17" ht="97.19999694824219" hidden="0" customHeight="1">
      <x:c r="A17" s="127" t="n">
        <x:v>13</x:v>
      </x:c>
      <x:c r="B17" s="127" t="str">
        <x:v>Gmail thread</x:v>
      </x:c>
      <x:c r="C17" s="127" t="str"/>
      <x:c r="D17" s="127" t="str">
        <x:v>19f2b9ebf6b17753</x:v>
      </x:c>
      <x:c r="E17" s="127" t="str">
        <x:v>19f2b9ebf6b17753</x:v>
      </x:c>
      <x:c r="F17" s="127" t="str">
        <x:v>Корпус переписки АП-Риал</x:v>
      </x:c>
      <x:c r="G17" s="127" t="str">
        <x:v>Полная цепочка прочитана в рамках аудита; содержимое не дублируется в книге</x:v>
      </x:c>
      <x:c r="H17" s="127"/>
    </x:row>
    <x:row r="18" ht="97.19999694824219" hidden="0" customHeight="1">
      <x:c r="A18" s="127" t="n">
        <x:v>14</x:v>
      </x:c>
      <x:c r="B18" s="127" t="str">
        <x:v>Gmail thread</x:v>
      </x:c>
      <x:c r="C18" s="127" t="str"/>
      <x:c r="D18" s="127" t="str">
        <x:v>19f2ba58508c7051</x:v>
      </x:c>
      <x:c r="E18" s="127" t="str">
        <x:v>19f2ba58508c7051</x:v>
      </x:c>
      <x:c r="F18" s="127" t="str">
        <x:v>Корпус переписки АП-Риал</x:v>
      </x:c>
      <x:c r="G18" s="127" t="str">
        <x:v>Полная цепочка прочитана в рамках аудита; содержимое не дублируется в книге</x:v>
      </x:c>
      <x:c r="H18" s="127"/>
    </x:row>
    <x:row r="19" ht="97.19999694824219" hidden="0" customHeight="1">
      <x:c r="A19" s="127" t="n">
        <x:v>15</x:v>
      </x:c>
      <x:c r="B19" s="127" t="str">
        <x:v>Gmail thread</x:v>
      </x:c>
      <x:c r="C19" s="127" t="str"/>
      <x:c r="D19" s="127" t="str">
        <x:v>19f2ba5bf07ccc39</x:v>
      </x:c>
      <x:c r="E19" s="127" t="str">
        <x:v>19f2ba5bf07ccc39</x:v>
      </x:c>
      <x:c r="F19" s="127" t="str">
        <x:v>Корпус переписки АП-Риал</x:v>
      </x:c>
      <x:c r="G19" s="127" t="str">
        <x:v>Полная цепочка прочитана в рамках аудита; содержимое не дублируется в книге</x:v>
      </x:c>
      <x:c r="H19" s="127"/>
    </x:row>
    <x:row r="20" ht="97.19999694824219" hidden="0" customHeight="1">
      <x:c r="A20" s="127" t="n">
        <x:v>16</x:v>
      </x:c>
      <x:c r="B20" s="127" t="str">
        <x:v>Gmail thread</x:v>
      </x:c>
      <x:c r="C20" s="127" t="str"/>
      <x:c r="D20" s="127" t="str">
        <x:v>19f2ba616a4fb994</x:v>
      </x:c>
      <x:c r="E20" s="127" t="str">
        <x:v>19f2ba616a4fb994</x:v>
      </x:c>
      <x:c r="F20" s="127" t="str">
        <x:v>Корпус переписки АП-Риал</x:v>
      </x:c>
      <x:c r="G20" s="127" t="str">
        <x:v>Полная цепочка прочитана в рамках аудита; содержимое не дублируется в книге</x:v>
      </x:c>
      <x:c r="H20" s="127"/>
    </x:row>
    <x:row r="21" ht="97.19999694824219" hidden="0" customHeight="1">
      <x:c r="A21" s="127" t="n">
        <x:v>17</x:v>
      </x:c>
      <x:c r="B21" s="127" t="str">
        <x:v>Gmail thread</x:v>
      </x:c>
      <x:c r="C21" s="127" t="str"/>
      <x:c r="D21" s="127" t="str">
        <x:v>19f36c6ae5ac67d7</x:v>
      </x:c>
      <x:c r="E21" s="127" t="str">
        <x:v>19f36c6ae5ac67d7</x:v>
      </x:c>
      <x:c r="F21" s="127" t="str">
        <x:v>Корпус переписки АП-Риал</x:v>
      </x:c>
      <x:c r="G21" s="127" t="str">
        <x:v>Полная цепочка прочитана в рамках аудита; содержимое не дублируется в книге</x:v>
      </x:c>
      <x:c r="H21" s="127"/>
    </x:row>
    <x:row r="22" ht="97.19999694824219" hidden="0" customHeight="1">
      <x:c r="A22" s="127" t="n">
        <x:v>18</x:v>
      </x:c>
      <x:c r="B22" s="127" t="str">
        <x:v>Gmail thread</x:v>
      </x:c>
      <x:c r="C22" s="127" t="str"/>
      <x:c r="D22" s="127" t="str">
        <x:v>19f40493eecb4264</x:v>
      </x:c>
      <x:c r="E22" s="127" t="str">
        <x:v>19f40493eecb4264</x:v>
      </x:c>
      <x:c r="F22" s="127" t="str">
        <x:v>Корпус переписки АП-Риал</x:v>
      </x:c>
      <x:c r="G22" s="127" t="str">
        <x:v>Полная цепочка прочитана в рамках аудита; содержимое не дублируется в книге</x:v>
      </x:c>
      <x:c r="H22" s="127"/>
    </x:row>
    <x:row r="23" ht="97.19999694824219" hidden="0" customHeight="1">
      <x:c r="A23" s="127" t="n">
        <x:v>19</x:v>
      </x:c>
      <x:c r="B23" s="127" t="str">
        <x:v>Gmail thread</x:v>
      </x:c>
      <x:c r="C23" s="127" t="str"/>
      <x:c r="D23" s="127" t="str">
        <x:v>19f641b70c935d0b</x:v>
      </x:c>
      <x:c r="E23" s="127" t="str">
        <x:v>19f641b70c935d0b</x:v>
      </x:c>
      <x:c r="F23" s="127" t="str">
        <x:v>Корпус переписки АП-Риал</x:v>
      </x:c>
      <x:c r="G23" s="127" t="str">
        <x:v>Полная цепочка прочитана в рамках аудита; содержимое не дублируется в книге</x:v>
      </x:c>
      <x:c r="H23" s="127"/>
    </x:row>
    <x:row r="24" ht="97.19999694824219" hidden="0" customHeight="1">
      <x:c r="A24" s="127" t="n">
        <x:v>20</x:v>
      </x:c>
      <x:c r="B24" s="127" t="str">
        <x:v>Gmail thread</x:v>
      </x:c>
      <x:c r="C24" s="127" t="str"/>
      <x:c r="D24" s="127" t="str">
        <x:v>19f66bc87984bd44</x:v>
      </x:c>
      <x:c r="E24" s="127" t="str">
        <x:v>19f66bc87984bd44</x:v>
      </x:c>
      <x:c r="F24" s="127" t="str">
        <x:v>Корпус переписки АП-Риал</x:v>
      </x:c>
      <x:c r="G24" s="127" t="str">
        <x:v>Полная цепочка прочитана в рамках аудита; содержимое не дублируется в книге</x:v>
      </x:c>
      <x:c r="H24" s="127"/>
    </x:row>
    <x:row r="25" ht="97.19999694824219" hidden="0" customHeight="1">
      <x:c r="A25" s="127" t="n">
        <x:v>21</x:v>
      </x:c>
      <x:c r="B25" s="127" t="str">
        <x:v>Gmail thread</x:v>
      </x:c>
      <x:c r="C25" s="127" t="str"/>
      <x:c r="D25" s="127" t="str">
        <x:v>19f699eac66e74e2</x:v>
      </x:c>
      <x:c r="E25" s="127" t="str">
        <x:v>19f699eac66e74e2</x:v>
      </x:c>
      <x:c r="F25" s="127" t="str">
        <x:v>Корпус переписки АП-Риал</x:v>
      </x:c>
      <x:c r="G25" s="127" t="str">
        <x:v>Полная цепочка прочитана в рамках аудита; содержимое не дублируется в книге</x:v>
      </x:c>
      <x:c r="H25" s="127"/>
    </x:row>
    <x:row r="26" ht="97.19999694824219" hidden="0" customHeight="1">
      <x:c r="A26" s="127" t="n">
        <x:v>22</x:v>
      </x:c>
      <x:c r="B26" s="127" t="str">
        <x:v>Gmail thread</x:v>
      </x:c>
      <x:c r="C26" s="127" t="str"/>
      <x:c r="D26" s="127" t="str">
        <x:v>19f76757e8d2018e</x:v>
      </x:c>
      <x:c r="E26" s="127" t="str">
        <x:v>19f76757e8d2018e</x:v>
      </x:c>
      <x:c r="F26" s="127" t="str">
        <x:v>Корпус переписки АП-Риал</x:v>
      </x:c>
      <x:c r="G26" s="127" t="str">
        <x:v>Полная цепочка прочитана в рамках аудита; содержимое не дублируется в книге</x:v>
      </x:c>
      <x:c r="H26" s="127"/>
    </x:row>
    <x:row r="27" ht="97.19999694824219" hidden="0" customHeight="1">
      <x:c r="A27" s="127" t="n">
        <x:v>23</x:v>
      </x:c>
      <x:c r="B27" s="127" t="str">
        <x:v>Gmail thread</x:v>
      </x:c>
      <x:c r="C27" s="127" t="str"/>
      <x:c r="D27" s="127" t="str">
        <x:v>19f7b96a68de655a</x:v>
      </x:c>
      <x:c r="E27" s="127" t="str">
        <x:v>19f7b96a68de655a</x:v>
      </x:c>
      <x:c r="F27" s="127" t="str">
        <x:v>Корпус переписки АП-Риал</x:v>
      </x:c>
      <x:c r="G27" s="127" t="str">
        <x:v>Полная цепочка прочитана в рамках аудита; содержимое не дублируется в книге</x:v>
      </x:c>
      <x:c r="H27" s="127"/>
    </x:row>
    <x:row r="28" ht="97.19999694824219" hidden="0" customHeight="1">
      <x:c r="A28" s="127" t="n">
        <x:v>24</x:v>
      </x:c>
      <x:c r="B28" s="127" t="str">
        <x:v>Gmail thread</x:v>
      </x:c>
      <x:c r="C28" s="127" t="str"/>
      <x:c r="D28" s="127" t="str">
        <x:v>19f7edaf4249dbf9</x:v>
      </x:c>
      <x:c r="E28" s="127" t="str">
        <x:v>19f7edaf4249dbf9</x:v>
      </x:c>
      <x:c r="F28" s="127" t="str">
        <x:v>Корпус переписки АП-Риал</x:v>
      </x:c>
      <x:c r="G28" s="127" t="str">
        <x:v>Полная цепочка прочитана в рамках аудита; содержимое не дублируется в книге</x:v>
      </x:c>
      <x:c r="H28" s="127"/>
    </x:row>
    <x:row r="29" ht="97.19999694824219" hidden="0" customHeight="1">
      <x:c r="A29" s="127" t="n">
        <x:v>25</x:v>
      </x:c>
      <x:c r="B29" s="127" t="str">
        <x:v>Gmail thread</x:v>
      </x:c>
      <x:c r="C29" s="127" t="str"/>
      <x:c r="D29" s="127" t="str">
        <x:v>19f80d7307f97d75</x:v>
      </x:c>
      <x:c r="E29" s="127" t="str">
        <x:v>19f80d7307f97d75</x:v>
      </x:c>
      <x:c r="F29" s="127" t="str">
        <x:v>Корпус переписки АП-Риал</x:v>
      </x:c>
      <x:c r="G29" s="127" t="str">
        <x:v>Полная цепочка прочитана в рамках аудита; содержимое не дублируется в книге</x:v>
      </x:c>
      <x:c r="H29" s="127"/>
    </x:row>
    <x:row r="30" ht="97.19999694824219" hidden="0" customHeight="1">
      <x:c r="A30" s="127" t="n">
        <x:v>26</x:v>
      </x:c>
      <x:c r="B30" s="127" t="str">
        <x:v>Gmail thread</x:v>
      </x:c>
      <x:c r="C30" s="127" t="str"/>
      <x:c r="D30" s="127" t="str">
        <x:v>19f8393c25b2044c</x:v>
      </x:c>
      <x:c r="E30" s="127" t="str">
        <x:v>19f8393c25b2044c</x:v>
      </x:c>
      <x:c r="F30" s="127" t="str">
        <x:v>Корпус переписки АП-Риал</x:v>
      </x:c>
      <x:c r="G30" s="127" t="str">
        <x:v>Полная цепочка прочитана в рамках аудита; содержимое не дублируется в книге</x:v>
      </x:c>
      <x:c r="H30" s="127"/>
    </x:row>
    <x:row r="31" ht="97.19999694824219" hidden="0" customHeight="1">
      <x:c r="A31" s="127" t="n">
        <x:v>27</x:v>
      </x:c>
      <x:c r="B31" s="127" t="str">
        <x:v>Gmail thread</x:v>
      </x:c>
      <x:c r="C31" s="127" t="str"/>
      <x:c r="D31" s="127" t="str">
        <x:v>19f83eda6be441dc</x:v>
      </x:c>
      <x:c r="E31" s="127" t="str">
        <x:v>19f83eda6be441dc</x:v>
      </x:c>
      <x:c r="F31" s="127" t="str">
        <x:v>Корпус переписки АП-Риал</x:v>
      </x:c>
      <x:c r="G31" s="127" t="str">
        <x:v>Полная цепочка прочитана в рамках аудита; содержимое не дублируется в книге</x:v>
      </x:c>
      <x:c r="H31" s="127"/>
    </x:row>
    <x:row r="32" ht="97.19999694824219" hidden="0" customHeight="1">
      <x:c r="A32" s="127" t="n">
        <x:v>28</x:v>
      </x:c>
      <x:c r="B32" s="127" t="str">
        <x:v>Gmail thread</x:v>
      </x:c>
      <x:c r="C32" s="127" t="str"/>
      <x:c r="D32" s="127" t="str">
        <x:v>19f84b7b5fc9daf0</x:v>
      </x:c>
      <x:c r="E32" s="127" t="str">
        <x:v>19f84b7b5fc9daf0</x:v>
      </x:c>
      <x:c r="F32" s="127" t="str">
        <x:v>Корпус переписки АП-Риал</x:v>
      </x:c>
      <x:c r="G32" s="127" t="str">
        <x:v>Полная цепочка прочитана в рамках аудита; содержимое не дублируется в книге</x:v>
      </x:c>
      <x:c r="H32" s="127"/>
    </x:row>
    <x:row r="33" ht="97.19999694824219" hidden="0" customHeight="1">
      <x:c r="A33" s="127" t="n">
        <x:v>29</x:v>
      </x:c>
      <x:c r="B33" s="127" t="str">
        <x:v>Gmail thread</x:v>
      </x:c>
      <x:c r="C33" s="127" t="str"/>
      <x:c r="D33" s="127" t="str">
        <x:v>19f84a42fe361003</x:v>
      </x:c>
      <x:c r="E33" s="127" t="str">
        <x:v>19f84a42fe361003</x:v>
      </x:c>
      <x:c r="F33" s="127" t="str">
        <x:v>Корпус переписки АП-Риал</x:v>
      </x:c>
      <x:c r="G33" s="127" t="str">
        <x:v>Полная цепочка прочитана в рамках аудита; содержимое не дублируется в книге</x:v>
      </x:c>
      <x:c r="H33" s="127"/>
    </x:row>
    <x:row r="34" ht="97.19999694824219" hidden="0" customHeight="1">
      <x:c r="A34" s="127" t="n">
        <x:v>30</x:v>
      </x:c>
      <x:c r="B34" s="127" t="str">
        <x:v>Gmail thread</x:v>
      </x:c>
      <x:c r="C34" s="127" t="str"/>
      <x:c r="D34" s="127" t="str">
        <x:v>19f84a7d318026f5</x:v>
      </x:c>
      <x:c r="E34" s="127" t="str">
        <x:v>19f84a7d318026f5</x:v>
      </x:c>
      <x:c r="F34" s="127" t="str">
        <x:v>Корпус переписки АП-Риал</x:v>
      </x:c>
      <x:c r="G34" s="127" t="str">
        <x:v>Полная цепочка прочитана в рамках аудита; содержимое не дублируется в книге</x:v>
      </x:c>
      <x:c r="H34" s="127"/>
    </x:row>
    <x:row r="35" ht="97.19999694824219" hidden="0" customHeight="1">
      <x:c r="A35" s="127" t="n">
        <x:v>31</x:v>
      </x:c>
      <x:c r="B35" s="127" t="str">
        <x:v>Gmail thread</x:v>
      </x:c>
      <x:c r="C35" s="127" t="str"/>
      <x:c r="D35" s="127" t="str">
        <x:v>19f85f87b29fb5f5</x:v>
      </x:c>
      <x:c r="E35" s="127" t="str">
        <x:v>19f85f87b29fb5f5</x:v>
      </x:c>
      <x:c r="F35" s="127" t="str">
        <x:v>Корпус переписки АП-Риал</x:v>
      </x:c>
      <x:c r="G35" s="127" t="str">
        <x:v>Полная цепочка прочитана в рамках аудита; содержимое не дублируется в книге</x:v>
      </x:c>
      <x:c r="H35" s="127"/>
    </x:row>
    <x:row r="36" ht="97.19999694824219" hidden="0" customHeight="1">
      <x:c r="A36" s="127" t="n">
        <x:v>32</x:v>
      </x:c>
      <x:c r="B36" s="127" t="str">
        <x:v>Gmail thread</x:v>
      </x:c>
      <x:c r="C36" s="127" t="str"/>
      <x:c r="D36" s="127" t="str">
        <x:v>19f85fde5bf0b12f</x:v>
      </x:c>
      <x:c r="E36" s="127" t="str">
        <x:v>19f85fde5bf0b12f</x:v>
      </x:c>
      <x:c r="F36" s="127" t="str">
        <x:v>Корпус переписки АП-Риал</x:v>
      </x:c>
      <x:c r="G36" s="127" t="str">
        <x:v>Полная цепочка прочитана в рамках аудита; содержимое не дублируется в книге</x:v>
      </x:c>
      <x:c r="H36" s="127"/>
    </x:row>
    <x:row r="37" ht="97.19999694824219" hidden="0" customHeight="1">
      <x:c r="A37" s="127" t="n">
        <x:v>33</x:v>
      </x:c>
      <x:c r="B37" s="127" t="str">
        <x:v>Gmail thread</x:v>
      </x:c>
      <x:c r="C37" s="127" t="str"/>
      <x:c r="D37" s="127" t="str">
        <x:v>19f885e4dacde194</x:v>
      </x:c>
      <x:c r="E37" s="127" t="str">
        <x:v>19f885e4dacde194</x:v>
      </x:c>
      <x:c r="F37" s="127" t="str">
        <x:v>Корпус переписки АП-Риал</x:v>
      </x:c>
      <x:c r="G37" s="127" t="str">
        <x:v>Полная цепочка прочитана в рамках аудита; содержимое не дублируется в книге</x:v>
      </x:c>
      <x:c r="H37" s="127"/>
    </x:row>
    <x:row r="38" ht="97.19999694824219" hidden="0" customHeight="1">
      <x:c r="A38" s="127" t="n">
        <x:v>34</x:v>
      </x:c>
      <x:c r="B38" s="127" t="str">
        <x:v>Gmail thread</x:v>
      </x:c>
      <x:c r="C38" s="127" t="str"/>
      <x:c r="D38" s="127" t="str">
        <x:v>19f89a7f553789d6</x:v>
      </x:c>
      <x:c r="E38" s="127" t="str">
        <x:v>19f89a7f553789d6</x:v>
      </x:c>
      <x:c r="F38" s="127" t="str">
        <x:v>Корпус переписки АП-Риал</x:v>
      </x:c>
      <x:c r="G38" s="127" t="str">
        <x:v>Полная цепочка прочитана в рамках аудита; содержимое не дублируется в книге</x:v>
      </x:c>
      <x:c r="H38" s="127"/>
    </x:row>
    <x:row r="39" ht="97.19999694824219" hidden="0" customHeight="1">
      <x:c r="A39" s="127" t="n">
        <x:v>35</x:v>
      </x:c>
      <x:c r="B39" s="127" t="str">
        <x:v>Gmail thread</x:v>
      </x:c>
      <x:c r="C39" s="127" t="str"/>
      <x:c r="D39" s="127" t="str">
        <x:v>19f885ccad59dafc</x:v>
      </x:c>
      <x:c r="E39" s="127" t="str">
        <x:v>19f885ccad59dafc</x:v>
      </x:c>
      <x:c r="F39" s="127" t="str">
        <x:v>Корпус переписки АП-Риал</x:v>
      </x:c>
      <x:c r="G39" s="127" t="str">
        <x:v>Полная цепочка прочитана в рамках аудита; содержимое не дублируется в книге</x:v>
      </x:c>
      <x:c r="H39" s="127"/>
    </x:row>
    <x:row r="40" ht="97.19999694824219" hidden="0" customHeight="1">
      <x:c r="A40" s="127" t="n">
        <x:v>36</x:v>
      </x:c>
      <x:c r="B40" s="127" t="str">
        <x:v>Gmail thread</x:v>
      </x:c>
      <x:c r="C40" s="127" t="str"/>
      <x:c r="D40" s="127" t="str">
        <x:v>19f88c0521ec6e9b</x:v>
      </x:c>
      <x:c r="E40" s="127" t="str">
        <x:v>19f88c0521ec6e9b</x:v>
      </x:c>
      <x:c r="F40" s="127" t="str">
        <x:v>Корпус переписки АП-Риал</x:v>
      </x:c>
      <x:c r="G40" s="127" t="str">
        <x:v>Полная цепочка прочитана в рамках аудита; содержимое не дублируется в книге</x:v>
      </x:c>
      <x:c r="H40" s="127"/>
    </x:row>
    <x:row r="41" ht="97.19999694824219" hidden="0" customHeight="1">
      <x:c r="A41" s="127" t="n">
        <x:v>37</x:v>
      </x:c>
      <x:c r="B41" s="127" t="str">
        <x:v>Gmail thread</x:v>
      </x:c>
      <x:c r="C41" s="127" t="str"/>
      <x:c r="D41" s="127" t="str">
        <x:v>19f88d9b1e7d12ec</x:v>
      </x:c>
      <x:c r="E41" s="127" t="str">
        <x:v>19f88d9b1e7d12ec</x:v>
      </x:c>
      <x:c r="F41" s="127" t="str">
        <x:v>Корпус переписки АП-Риал</x:v>
      </x:c>
      <x:c r="G41" s="127" t="str">
        <x:v>Полная цепочка прочитана в рамках аудита; содержимое не дублируется в книге</x:v>
      </x:c>
      <x:c r="H41" s="127"/>
    </x:row>
    <x:row r="42" ht="97.19999694824219" hidden="0" customHeight="1">
      <x:c r="A42" s="127" t="n">
        <x:v>38</x:v>
      </x:c>
      <x:c r="B42" s="127" t="str">
        <x:v>Gmail thread</x:v>
      </x:c>
      <x:c r="C42" s="127" t="str"/>
      <x:c r="D42" s="127" t="str">
        <x:v>19f88dcf3715f1e5</x:v>
      </x:c>
      <x:c r="E42" s="127" t="str">
        <x:v>19f88dcf3715f1e5</x:v>
      </x:c>
      <x:c r="F42" s="127" t="str">
        <x:v>Корпус переписки АП-Риал</x:v>
      </x:c>
      <x:c r="G42" s="127" t="str">
        <x:v>Полная цепочка прочитана в рамках аудита; содержимое не дублируется в книге</x:v>
      </x:c>
      <x:c r="H42" s="127"/>
    </x:row>
    <x:row r="43" ht="97.19999694824219" hidden="0" customHeight="1">
      <x:c r="A43" s="127" t="n">
        <x:v>39</x:v>
      </x:c>
      <x:c r="B43" s="127" t="str">
        <x:v>Gmail thread</x:v>
      </x:c>
      <x:c r="C43" s="127" t="str"/>
      <x:c r="D43" s="127" t="str">
        <x:v>19f88e0d74b8928e</x:v>
      </x:c>
      <x:c r="E43" s="127" t="str">
        <x:v>19f88e0d74b8928e</x:v>
      </x:c>
      <x:c r="F43" s="127" t="str">
        <x:v>Корпус переписки АП-Риал</x:v>
      </x:c>
      <x:c r="G43" s="127" t="str">
        <x:v>Полная цепочка прочитана в рамках аудита; содержимое не дублируется в книге</x:v>
      </x:c>
      <x:c r="H43" s="127"/>
    </x:row>
    <x:row r="44" ht="97.19999694824219" hidden="0" customHeight="1">
      <x:c r="A44" s="127" t="n">
        <x:v>40</x:v>
      </x:c>
      <x:c r="B44" s="127" t="str">
        <x:v>Gmail thread</x:v>
      </x:c>
      <x:c r="C44" s="127" t="str"/>
      <x:c r="D44" s="127" t="str">
        <x:v>19f88ec9dbdfcdf0</x:v>
      </x:c>
      <x:c r="E44" s="127" t="str">
        <x:v>19f88ec9dbdfcdf0</x:v>
      </x:c>
      <x:c r="F44" s="127" t="str">
        <x:v>Корпус переписки АП-Риал</x:v>
      </x:c>
      <x:c r="G44" s="127" t="str">
        <x:v>Полная цепочка прочитана в рамках аудита; содержимое не дублируется в книге</x:v>
      </x:c>
      <x:c r="H44" s="127"/>
    </x:row>
    <x:row r="45" ht="97.19999694824219" hidden="0" customHeight="1">
      <x:c r="A45" s="127" t="n">
        <x:v>41</x:v>
      </x:c>
      <x:c r="B45" s="127" t="str">
        <x:v>Gmail thread</x:v>
      </x:c>
      <x:c r="C45" s="127" t="str"/>
      <x:c r="D45" s="127" t="str">
        <x:v>19f890b1c1dac7ad</x:v>
      </x:c>
      <x:c r="E45" s="127" t="str">
        <x:v>19f890b1c1dac7ad</x:v>
      </x:c>
      <x:c r="F45" s="127" t="str">
        <x:v>Корпус переписки АП-Риал</x:v>
      </x:c>
      <x:c r="G45" s="127" t="str">
        <x:v>Полная цепочка прочитана в рамках аудита; содержимое не дублируется в книге</x:v>
      </x:c>
      <x:c r="H45" s="127"/>
    </x:row>
    <x:row r="46" ht="97.19999694824219" hidden="0" customHeight="1">
      <x:c r="A46" s="127" t="n">
        <x:v>42</x:v>
      </x:c>
      <x:c r="B46" s="127" t="str">
        <x:v>Gmail thread</x:v>
      </x:c>
      <x:c r="C46" s="127" t="str"/>
      <x:c r="D46" s="127" t="str">
        <x:v>19f890c3fe8eadc6</x:v>
      </x:c>
      <x:c r="E46" s="127" t="str">
        <x:v>19f890c3fe8eadc6</x:v>
      </x:c>
      <x:c r="F46" s="127" t="str">
        <x:v>Корпус переписки АП-Риал</x:v>
      </x:c>
      <x:c r="G46" s="127" t="str">
        <x:v>Полная цепочка прочитана в рамках аудита; содержимое не дублируется в книге</x:v>
      </x:c>
      <x:c r="H46" s="127"/>
    </x:row>
    <x:row r="47" ht="97.19999694824219" hidden="0" customHeight="1">
      <x:c r="A47" s="127" t="n">
        <x:v>43</x:v>
      </x:c>
      <x:c r="B47" s="127" t="str">
        <x:v>Gmail thread</x:v>
      </x:c>
      <x:c r="C47" s="127" t="str"/>
      <x:c r="D47" s="127" t="str">
        <x:v>19f8913e3dde5886</x:v>
      </x:c>
      <x:c r="E47" s="127" t="str">
        <x:v>19f8913e3dde5886</x:v>
      </x:c>
      <x:c r="F47" s="127" t="str">
        <x:v>Корпус переписки АП-Риал</x:v>
      </x:c>
      <x:c r="G47" s="127" t="str">
        <x:v>Полная цепочка прочитана в рамках аудита; содержимое не дублируется в книге</x:v>
      </x:c>
      <x:c r="H47" s="127"/>
    </x:row>
    <x:row r="48" ht="97.19999694824219" hidden="0" customHeight="1">
      <x:c r="A48" s="127" t="n">
        <x:v>44</x:v>
      </x:c>
      <x:c r="B48" s="127" t="str">
        <x:v>Gmail thread</x:v>
      </x:c>
      <x:c r="C48" s="127" t="str"/>
      <x:c r="D48" s="127" t="str">
        <x:v>19f891d2bdc8ae00</x:v>
      </x:c>
      <x:c r="E48" s="127" t="str">
        <x:v>19f891d2bdc8ae00</x:v>
      </x:c>
      <x:c r="F48" s="127" t="str">
        <x:v>Корпус переписки АП-Риал</x:v>
      </x:c>
      <x:c r="G48" s="127" t="str">
        <x:v>Полная цепочка прочитана в рамках аудита; содержимое не дублируется в книге</x:v>
      </x:c>
      <x:c r="H48" s="127"/>
    </x:row>
    <x:row r="49" ht="97.19999694824219" hidden="0" customHeight="1">
      <x:c r="A49" s="127" t="n">
        <x:v>45</x:v>
      </x:c>
      <x:c r="B49" s="127" t="str">
        <x:v>Gmail thread</x:v>
      </x:c>
      <x:c r="C49" s="127" t="str"/>
      <x:c r="D49" s="127" t="str">
        <x:v>19f8936c6a649175</x:v>
      </x:c>
      <x:c r="E49" s="127" t="str">
        <x:v>19f8936c6a649175</x:v>
      </x:c>
      <x:c r="F49" s="127" t="str">
        <x:v>Корпус переписки АП-Риал</x:v>
      </x:c>
      <x:c r="G49" s="127" t="str">
        <x:v>Полная цепочка прочитана в рамках аудита; содержимое не дублируется в книге</x:v>
      </x:c>
      <x:c r="H49" s="127"/>
    </x:row>
    <x:row r="50" ht="97.19999694824219" hidden="0" customHeight="1">
      <x:c r="A50" s="127" t="n">
        <x:v>46</x:v>
      </x:c>
      <x:c r="B50" s="127" t="str">
        <x:v>Gmail thread</x:v>
      </x:c>
      <x:c r="C50" s="127" t="str"/>
      <x:c r="D50" s="127" t="str">
        <x:v>19f8945e74138f0f</x:v>
      </x:c>
      <x:c r="E50" s="127" t="str">
        <x:v>19f8945e74138f0f</x:v>
      </x:c>
      <x:c r="F50" s="127" t="str">
        <x:v>Корпус переписки АП-Риал</x:v>
      </x:c>
      <x:c r="G50" s="127" t="str">
        <x:v>Полная цепочка прочитана в рамках аудита; содержимое не дублируется в книге</x:v>
      </x:c>
      <x:c r="H50" s="127"/>
    </x:row>
    <x:row r="51" ht="97.19999694824219" hidden="0" customHeight="1">
      <x:c r="A51" s="127" t="n">
        <x:v>47</x:v>
      </x:c>
      <x:c r="B51" s="127" t="str">
        <x:v>Gmail thread</x:v>
      </x:c>
      <x:c r="C51" s="127" t="str"/>
      <x:c r="D51" s="127" t="str">
        <x:v>19f894bb77b5a48e</x:v>
      </x:c>
      <x:c r="E51" s="127" t="str">
        <x:v>19f894bb77b5a48e</x:v>
      </x:c>
      <x:c r="F51" s="127" t="str">
        <x:v>Корпус переписки АП-Риал</x:v>
      </x:c>
      <x:c r="G51" s="127" t="str">
        <x:v>Полная цепочка прочитана в рамках аудита; содержимое не дублируется в книге</x:v>
      </x:c>
      <x:c r="H51" s="127"/>
    </x:row>
    <x:row r="52" ht="97.19999694824219" hidden="0" customHeight="1">
      <x:c r="A52" s="127" t="n">
        <x:v>48</x:v>
      </x:c>
      <x:c r="B52" s="127" t="str">
        <x:v>Gmail thread</x:v>
      </x:c>
      <x:c r="C52" s="127" t="str"/>
      <x:c r="D52" s="127" t="str">
        <x:v>19f89dd6877a63f3</x:v>
      </x:c>
      <x:c r="E52" s="127" t="str">
        <x:v>19f89dd6877a63f3</x:v>
      </x:c>
      <x:c r="F52" s="127" t="str">
        <x:v>Корпус переписки АП-Риал</x:v>
      </x:c>
      <x:c r="G52" s="127" t="str">
        <x:v>Полная цепочка прочитана в рамках аудита; содержимое не дублируется в книге</x:v>
      </x:c>
      <x:c r="H52" s="127"/>
    </x:row>
    <x:row r="53" ht="97.19999694824219" hidden="0" customHeight="1">
      <x:c r="A53" s="127" t="n">
        <x:v>49</x:v>
      </x:c>
      <x:c r="B53" s="127" t="str">
        <x:v>Gmail thread</x:v>
      </x:c>
      <x:c r="C53" s="127" t="str"/>
      <x:c r="D53" s="127" t="str">
        <x:v>19f89dff00f5faf5</x:v>
      </x:c>
      <x:c r="E53" s="127" t="str">
        <x:v>19f89dff00f5faf5</x:v>
      </x:c>
      <x:c r="F53" s="127" t="str">
        <x:v>Корпус переписки АП-Риал</x:v>
      </x:c>
      <x:c r="G53" s="127" t="str">
        <x:v>Полная цепочка прочитана в рамках аудита; содержимое не дублируется в книге</x:v>
      </x:c>
      <x:c r="H53" s="127"/>
    </x:row>
    <x:row r="54" ht="97.19999694824219" hidden="0" customHeight="1">
      <x:c r="A54" s="127" t="n">
        <x:v>50</x:v>
      </x:c>
      <x:c r="B54" s="127" t="str">
        <x:v>Gmail thread</x:v>
      </x:c>
      <x:c r="C54" s="127" t="str"/>
      <x:c r="D54" s="127" t="str">
        <x:v>19f8e77a3e499aa3</x:v>
      </x:c>
      <x:c r="E54" s="127" t="str">
        <x:v>19f8e77a3e499aa3</x:v>
      </x:c>
      <x:c r="F54" s="127" t="str">
        <x:v>Корпус переписки АП-Риал</x:v>
      </x:c>
      <x:c r="G54" s="127" t="str">
        <x:v>Полная цепочка прочитана в рамках аудита; содержимое не дублируется в книге</x:v>
      </x:c>
      <x:c r="H54" s="127"/>
    </x:row>
    <x:row r="55" ht="97.19999694824219" hidden="0" customHeight="1">
      <x:c r="A55" s="127" t="n">
        <x:v>51</x:v>
      </x:c>
      <x:c r="B55" s="127" t="str">
        <x:v>Gmail thread</x:v>
      </x:c>
      <x:c r="C55" s="127" t="str"/>
      <x:c r="D55" s="127" t="str">
        <x:v>19f8a977b2aba2e9</x:v>
      </x:c>
      <x:c r="E55" s="127" t="str">
        <x:v>19f8a977b2aba2e9</x:v>
      </x:c>
      <x:c r="F55" s="127" t="str">
        <x:v>Корпус переписки АП-Риал</x:v>
      </x:c>
      <x:c r="G55" s="127" t="str">
        <x:v>Полная цепочка прочитана в рамках аудита; содержимое не дублируется в книге</x:v>
      </x:c>
      <x:c r="H55" s="127"/>
    </x:row>
    <x:row r="56" ht="97.19999694824219" hidden="0" customHeight="1">
      <x:c r="A56" s="127" t="n">
        <x:v>52</x:v>
      </x:c>
      <x:c r="B56" s="127" t="str">
        <x:v>Gmail thread</x:v>
      </x:c>
      <x:c r="C56" s="127" t="str"/>
      <x:c r="D56" s="127" t="str">
        <x:v>19f90007765f9ed6</x:v>
      </x:c>
      <x:c r="E56" s="127" t="str">
        <x:v>19f90007765f9ed6</x:v>
      </x:c>
      <x:c r="F56" s="127" t="str">
        <x:v>Корпус переписки АП-Риал</x:v>
      </x:c>
      <x:c r="G56" s="127" t="str">
        <x:v>Полная цепочка прочитана в рамках аудита; содержимое не дублируется в книге</x:v>
      </x:c>
      <x:c r="H56" s="127"/>
    </x:row>
    <x:row r="57" ht="97.19999694824219" hidden="0" customHeight="1">
      <x:c r="A57" s="127" t="n">
        <x:v>53</x:v>
      </x:c>
      <x:c r="B57" s="127" t="str">
        <x:v>Gmail thread</x:v>
      </x:c>
      <x:c r="C57" s="127" t="str"/>
      <x:c r="D57" s="127" t="str">
        <x:v>19f90041e137ee00</x:v>
      </x:c>
      <x:c r="E57" s="127" t="str">
        <x:v>19f90041e137ee00</x:v>
      </x:c>
      <x:c r="F57" s="127" t="str">
        <x:v>Корпус переписки АП-Риал</x:v>
      </x:c>
      <x:c r="G57" s="127" t="str">
        <x:v>Полная цепочка прочитана в рамках аудита; содержимое не дублируется в книге</x:v>
      </x:c>
      <x:c r="H57" s="127"/>
    </x:row>
    <x:row r="58" ht="97.19999694824219" hidden="0" customHeight="1">
      <x:c r="A58" s="127" t="n">
        <x:v>54</x:v>
      </x:c>
      <x:c r="B58" s="127" t="str">
        <x:v>Gmail thread</x:v>
      </x:c>
      <x:c r="C58" s="127" t="str"/>
      <x:c r="D58" s="127" t="str">
        <x:v>19f900a3dcd6aa12</x:v>
      </x:c>
      <x:c r="E58" s="127" t="str">
        <x:v>19f900a3dcd6aa12</x:v>
      </x:c>
      <x:c r="F58" s="127" t="str">
        <x:v>Корпус переписки АП-Риал</x:v>
      </x:c>
      <x:c r="G58" s="127" t="str">
        <x:v>Полная цепочка прочитана в рамках аудита; содержимое не дублируется в книге</x:v>
      </x:c>
      <x:c r="H58" s="127"/>
    </x:row>
    <x:row r="59" ht="97.19999694824219" hidden="0" customHeight="1">
      <x:c r="A59" s="127" t="n">
        <x:v>55</x:v>
      </x:c>
      <x:c r="B59" s="127" t="str">
        <x:v>Gmail thread</x:v>
      </x:c>
      <x:c r="C59" s="127" t="str"/>
      <x:c r="D59" s="127" t="str">
        <x:v>19f900cb24eb192c</x:v>
      </x:c>
      <x:c r="E59" s="127" t="str">
        <x:v>19f900cb24eb192c</x:v>
      </x:c>
      <x:c r="F59" s="127" t="str">
        <x:v>Корпус переписки АП-Риал</x:v>
      </x:c>
      <x:c r="G59" s="127" t="str">
        <x:v>Полная цепочка прочитана в рамках аудита; содержимое не дублируется в книге</x:v>
      </x:c>
      <x:c r="H59" s="127"/>
    </x:row>
    <x:row r="60" ht="97.19999694824219" hidden="0" customHeight="1">
      <x:c r="A60" s="127" t="n">
        <x:v>56</x:v>
      </x:c>
      <x:c r="B60" s="127" t="str">
        <x:v>Gmail thread</x:v>
      </x:c>
      <x:c r="C60" s="127" t="str"/>
      <x:c r="D60" s="127" t="str">
        <x:v>19f901b89f3bd18c</x:v>
      </x:c>
      <x:c r="E60" s="127" t="str">
        <x:v>19f901b89f3bd18c</x:v>
      </x:c>
      <x:c r="F60" s="127" t="str">
        <x:v>Корпус переписки АП-Риал</x:v>
      </x:c>
      <x:c r="G60" s="127" t="str">
        <x:v>Полная цепочка прочитана в рамках аудита; содержимое не дублируется в книге</x:v>
      </x:c>
      <x:c r="H60" s="127"/>
    </x:row>
    <x:row r="61" ht="97.19999694824219" hidden="0" customHeight="1">
      <x:c r="A61" s="127" t="n">
        <x:v>57</x:v>
      </x:c>
      <x:c r="B61" s="127" t="str">
        <x:v>Gmail thread</x:v>
      </x:c>
      <x:c r="C61" s="127" t="str"/>
      <x:c r="D61" s="127" t="str">
        <x:v>19f901f92d897c47</x:v>
      </x:c>
      <x:c r="E61" s="127" t="str">
        <x:v>19f901f92d897c47</x:v>
      </x:c>
      <x:c r="F61" s="127" t="str">
        <x:v>Корпус переписки АП-Риал</x:v>
      </x:c>
      <x:c r="G61" s="127" t="str">
        <x:v>Полная цепочка прочитана в рамках аудита; содержимое не дублируется в книге</x:v>
      </x:c>
      <x:c r="H61" s="127"/>
    </x:row>
    <x:row r="62" ht="97.19999694824219" hidden="0" customHeight="1">
      <x:c r="A62" s="127" t="n">
        <x:v>58</x:v>
      </x:c>
      <x:c r="B62" s="127" t="str">
        <x:v>Gmail thread</x:v>
      </x:c>
      <x:c r="C62" s="127" t="str"/>
      <x:c r="D62" s="127" t="str">
        <x:v>19f935839b9d04c9</x:v>
      </x:c>
      <x:c r="E62" s="127" t="str">
        <x:v>19f935839b9d04c9</x:v>
      </x:c>
      <x:c r="F62" s="127" t="str">
        <x:v>Корпус переписки АП-Риал</x:v>
      </x:c>
      <x:c r="G62" s="127" t="str">
        <x:v>Полная цепочка прочитана в рамках аудита; содержимое не дублируется в книге</x:v>
      </x:c>
      <x:c r="H62" s="127"/>
    </x:row>
    <x:row r="63" ht="97.19999694824219" hidden="0" customHeight="1">
      <x:c r="A63" s="127" t="n">
        <x:v>59</x:v>
      </x:c>
      <x:c r="B63" s="127" t="str">
        <x:v>Gmail thread</x:v>
      </x:c>
      <x:c r="C63" s="127" t="str"/>
      <x:c r="D63" s="127" t="str">
        <x:v>19f9364d5055062a</x:v>
      </x:c>
      <x:c r="E63" s="127" t="str">
        <x:v>19f9364d5055062a</x:v>
      </x:c>
      <x:c r="F63" s="127" t="str">
        <x:v>Корпус переписки АП-Риал</x:v>
      </x:c>
      <x:c r="G63" s="127" t="str">
        <x:v>Полная цепочка прочитана в рамках аудита; содержимое не дублируется в книге</x:v>
      </x:c>
      <x:c r="H63" s="127"/>
    </x:row>
    <x:row r="64" ht="97.19999694824219" hidden="0" customHeight="1">
      <x:c r="A64" s="127" t="n">
        <x:v>60</x:v>
      </x:c>
      <x:c r="B64" s="127" t="str">
        <x:v>Gmail thread</x:v>
      </x:c>
      <x:c r="C64" s="127" t="str"/>
      <x:c r="D64" s="127" t="str">
        <x:v>19f9a005ec1821e7</x:v>
      </x:c>
      <x:c r="E64" s="127" t="str">
        <x:v>19f9a005ec1821e7</x:v>
      </x:c>
      <x:c r="F64" s="127" t="str">
        <x:v>Корпус переписки АП-Риал</x:v>
      </x:c>
      <x:c r="G64" s="127" t="str">
        <x:v>Полная цепочка прочитана в рамках аудита; содержимое не дублируется в книге</x:v>
      </x:c>
      <x:c r="H64" s="127"/>
    </x:row>
    <x:row r="65" ht="54" hidden="0" customHeight="1">
      <x:c r="A65" s="127" t="n">
        <x:v>61</x:v>
      </x:c>
      <x:c r="B65" s="127" t="str">
        <x:v>DOCX attachment</x:v>
      </x:c>
      <x:c r="C65" s="127" t="str">
        <x:v>2026-07-18</x:v>
      </x:c>
      <x:c r="D65" s="127" t="str">
        <x:v>19f76757e8d2018e</x:v>
      </x:c>
      <x:c r="E65" s="127" t="str">
        <x:v>19f76757e8d2018e</x:v>
      </x:c>
      <x:c r="F65" s="127" t="str">
        <x:v>Заявки</x:v>
      </x:c>
      <x:c r="G65" s="127" t="str">
        <x:v>Заявки на сайт-какие они.docx</x:v>
      </x:c>
      <x:c r="H65" s="127" t="str">
        <x:v>1469405 bytes; вложение прочитано полностью</x:v>
      </x:c>
    </x:row>
    <x:row r="66" ht="43.20000076293945" hidden="0" customHeight="1">
      <x:c r="A66" s="127" t="n">
        <x:v>62</x:v>
      </x:c>
      <x:c r="B66" s="127" t="str">
        <x:v>DOCX attachment</x:v>
      </x:c>
      <x:c r="C66" s="127" t="str">
        <x:v>2026-07-18</x:v>
      </x:c>
      <x:c r="D66" s="127" t="str">
        <x:v>19f76757e8d2018e</x:v>
      </x:c>
      <x:c r="E66" s="127" t="str">
        <x:v>19f76757e8d2018e</x:v>
      </x:c>
      <x:c r="F66" s="127" t="str">
        <x:v>Заявки</x:v>
      </x:c>
      <x:c r="G66" s="127" t="str">
        <x:v>Сайты в т.ч. с битыми заявками.docx</x:v>
      </x:c>
      <x:c r="H66" s="127" t="str">
        <x:v>26246 bytes; вложение прочитано полностью</x:v>
      </x:c>
    </x:row>
    <x:row r="67" ht="54" hidden="0" customHeight="1">
      <x:c r="A67" s="127" t="n">
        <x:v>63</x:v>
      </x:c>
      <x:c r="B67" s="127" t="str">
        <x:v>DOCX attachment</x:v>
      </x:c>
      <x:c r="C67" s="127" t="str">
        <x:v>2026-07-18</x:v>
      </x:c>
      <x:c r="D67" s="127" t="str">
        <x:v>19f76757e8d2018e</x:v>
      </x:c>
      <x:c r="E67" s="127" t="str">
        <x:v>19f76757e8d2018e</x:v>
      </x:c>
      <x:c r="F67" s="127" t="str">
        <x:v>Заявки</x:v>
      </x:c>
      <x:c r="G67" s="127" t="str">
        <x:v>Проблемы с сайтами на 18.07.2026.docx</x:v>
      </x:c>
      <x:c r="H67" s="127" t="str">
        <x:v>6090704 bytes; вложение прочитано полностью</x:v>
      </x:c>
    </x:row>
    <x:row r="68" ht="54" hidden="0" customHeight="1">
      <x:c r="A68" s="127" t="n">
        <x:v>64</x:v>
      </x:c>
      <x:c r="B68" s="127" t="str">
        <x:v>DOCX attachment</x:v>
      </x:c>
      <x:c r="C68" s="127" t="str">
        <x:v>2026-07-19</x:v>
      </x:c>
      <x:c r="D68" s="127" t="str">
        <x:v>19f791e9ab018b74</x:v>
      </x:c>
      <x:c r="E68" s="127" t="str">
        <x:v>19f76757e8d2018e</x:v>
      </x:c>
      <x:c r="F68" s="127" t="str">
        <x:v>Re: Заявки</x:v>
      </x:c>
      <x:c r="G68" s="127" t="str">
        <x:v>Заявки на сайт-какие они.docx</x:v>
      </x:c>
      <x:c r="H68" s="127" t="str">
        <x:v>1468997 bytes; вложение прочитано полностью</x:v>
      </x:c>
    </x:row>
    <x:row r="69" ht="54" hidden="0" customHeight="1">
      <x:c r="A69" s="127" t="n">
        <x:v>65</x:v>
      </x:c>
      <x:c r="B69" s="127" t="str">
        <x:v>DOCX attachment</x:v>
      </x:c>
      <x:c r="C69" s="127" t="str">
        <x:v>2026-07-19</x:v>
      </x:c>
      <x:c r="D69" s="127" t="str">
        <x:v>19f791e9ab018b74</x:v>
      </x:c>
      <x:c r="E69" s="127" t="str">
        <x:v>19f76757e8d2018e</x:v>
      </x:c>
      <x:c r="F69" s="127" t="str">
        <x:v>Re: Заявки</x:v>
      </x:c>
      <x:c r="G69" s="127" t="str">
        <x:v>Проблемы на сайте apreal.ru на 19.07.2026.docx</x:v>
      </x:c>
      <x:c r="H69" s="127" t="str">
        <x:v>4040159 bytes; вложение прочитано полностью</x:v>
      </x:c>
    </x:row>
    <x:row r="70" ht="54" hidden="0" customHeight="1">
      <x:c r="A70" s="127" t="n">
        <x:v>66</x:v>
      </x:c>
      <x:c r="B70" s="127" t="str">
        <x:v>DOCX attachment</x:v>
      </x:c>
      <x:c r="C70" s="127" t="str">
        <x:v>2026-07-19</x:v>
      </x:c>
      <x:c r="D70" s="127" t="str">
        <x:v>19f7a48fddfacc95</x:v>
      </x:c>
      <x:c r="E70" s="127" t="str">
        <x:v>19f76757e8d2018e</x:v>
      </x:c>
      <x:c r="F70" s="127" t="str">
        <x:v>Re: Заявки</x:v>
      </x:c>
      <x:c r="G70" s="127" t="str">
        <x:v>Проблемы на сайте mca24.ru на 19.07.2026.docx</x:v>
      </x:c>
      <x:c r="H70" s="127" t="str">
        <x:v>801948 bytes; вложение прочитано полностью</x:v>
      </x:c>
    </x:row>
    <x:row r="71" ht="54" hidden="0" customHeight="1">
      <x:c r="A71" s="127" t="n">
        <x:v>67</x:v>
      </x:c>
      <x:c r="B71" s="127" t="str">
        <x:v>DOCX attachment</x:v>
      </x:c>
      <x:c r="C71" s="127" t="str">
        <x:v>2026-07-19</x:v>
      </x:c>
      <x:c r="D71" s="127" t="str">
        <x:v>19f7a48fddfacc95</x:v>
      </x:c>
      <x:c r="E71" s="127" t="str">
        <x:v>19f76757e8d2018e</x:v>
      </x:c>
      <x:c r="F71" s="127" t="str">
        <x:v>Re: Заявки</x:v>
      </x:c>
      <x:c r="G71" s="127" t="str">
        <x:v>Проблемы на сайте apreal.ru на 19.07.2026.docx</x:v>
      </x:c>
      <x:c r="H71" s="127" t="str">
        <x:v>3309528 bytes; вложение прочитано полностью</x:v>
      </x:c>
    </x:row>
    <x:row r="72" ht="54" hidden="0" customHeight="1">
      <x:c r="A72" s="127" t="n">
        <x:v>68</x:v>
      </x:c>
      <x:c r="B72" s="127" t="str">
        <x:v>DOCX attachment</x:v>
      </x:c>
      <x:c r="C72" s="127" t="str">
        <x:v>2026-07-19</x:v>
      </x:c>
      <x:c r="D72" s="127" t="str">
        <x:v>19f7b96a68de655a</x:v>
      </x:c>
      <x:c r="E72" s="127" t="str">
        <x:v>19f7b96a68de655a</x:v>
      </x:c>
      <x:c r="F72" s="127" t="str">
        <x:v>сайт elecktro.ru</x:v>
      </x:c>
      <x:c r="G72" s="127" t="str">
        <x:v>Проблемы на сайте elecktro.ru .docx</x:v>
      </x:c>
      <x:c r="H72" s="127" t="str">
        <x:v>657523 bytes; вложение прочитано полностью</x:v>
      </x:c>
    </x:row>
    <x:row r="73" ht="54" hidden="0" customHeight="1">
      <x:c r="A73" s="127" t="n">
        <x:v>69</x:v>
      </x:c>
      <x:c r="B73" s="127" t="str">
        <x:v>DOCX attachment</x:v>
      </x:c>
      <x:c r="C73" s="127" t="str">
        <x:v>2026-07-21</x:v>
      </x:c>
      <x:c r="D73" s="127" t="str">
        <x:v>19f83eda6be441dc</x:v>
      </x:c>
      <x:c r="E73" s="127" t="str">
        <x:v>19f83eda6be441dc</x:v>
      </x:c>
      <x:c r="F73" s="127" t="str">
        <x:v>Заявка на сайте apreal.ru</x:v>
      </x:c>
      <x:c r="G73" s="127" t="str">
        <x:v>Проблемы на сайте apreal.ru на 21.07.2026.docx</x:v>
      </x:c>
      <x:c r="H73" s="127" t="str">
        <x:v>1542678 bytes; вложение прочитано полностью</x:v>
      </x:c>
    </x:row>
    <x:row r="74" ht="64.80000305175781" hidden="0" customHeight="1">
      <x:c r="A74" s="127" t="n">
        <x:v>70</x:v>
      </x:c>
      <x:c r="B74" s="127" t="str">
        <x:v>DOCX attachment</x:v>
      </x:c>
      <x:c r="C74" s="127" t="str">
        <x:v>2026-07-21</x:v>
      </x:c>
      <x:c r="D74" s="127" t="str">
        <x:v>19f84a42fe361003</x:v>
      </x:c>
      <x:c r="E74" s="127" t="str">
        <x:v>19f84a42fe361003</x:v>
      </x:c>
      <x:c r="F74" s="127" t="str">
        <x:v>Сайт MED-LICENSE.RU - проблема</x:v>
      </x:c>
      <x:c r="G74" s="127" t="str">
        <x:v>Проблемы на сайте MED-LICENSE.RU на 21.07.2026.docx</x:v>
      </x:c>
      <x:c r="H74" s="127" t="str">
        <x:v>1046949 bytes; вложение прочитано полностью</x:v>
      </x:c>
    </x:row>
    <x:row r="75" ht="54" hidden="0" customHeight="1">
      <x:c r="A75" s="127" t="n">
        <x:v>71</x:v>
      </x:c>
      <x:c r="B75" s="127" t="str">
        <x:v>DOCX attachment</x:v>
      </x:c>
      <x:c r="C75" s="127" t="str">
        <x:v>2026-07-21</x:v>
      </x:c>
      <x:c r="D75" s="127" t="str">
        <x:v>19f84a7d318026f5</x:v>
      </x:c>
      <x:c r="E75" s="127" t="str">
        <x:v>19f84a7d318026f5</x:v>
      </x:c>
      <x:c r="F75" s="127" t="str">
        <x:v>Сайт MHSL.RU -проблема</x:v>
      </x:c>
      <x:c r="G75" s="127" t="str">
        <x:v>Проблемы на сайте MHSL.RU на 21.07.2026.docx</x:v>
      </x:c>
      <x:c r="H75" s="127" t="str">
        <x:v>1039717 bytes; вложение прочитано полностью</x:v>
      </x:c>
    </x:row>
    <x:row r="76" ht="54" hidden="0" customHeight="1">
      <x:c r="A76" s="127" t="n">
        <x:v>72</x:v>
      </x:c>
      <x:c r="B76" s="127" t="str">
        <x:v>DOCX attachment</x:v>
      </x:c>
      <x:c r="C76" s="127" t="str">
        <x:v>2026-07-21</x:v>
      </x:c>
      <x:c r="D76" s="127" t="str">
        <x:v>19f84b7b5fc9daf0</x:v>
      </x:c>
      <x:c r="E76" s="127" t="str">
        <x:v>19f84b7b5fc9daf0</x:v>
      </x:c>
      <x:c r="F76" s="127" t="str">
        <x:v>Сайт fste.ru -проблемы</x:v>
      </x:c>
      <x:c r="G76" s="127" t="str">
        <x:v>Проблемы на сайте fste.ru на 21.07.2026.docx</x:v>
      </x:c>
      <x:c r="H76" s="127" t="str">
        <x:v>1225829 bytes; вложение прочитано полностью</x:v>
      </x:c>
    </x:row>
    <x:row r="77" ht="54" hidden="0" customHeight="1">
      <x:c r="A77" s="127" t="n">
        <x:v>73</x:v>
      </x:c>
      <x:c r="B77" s="127" t="str">
        <x:v>DOCX attachment</x:v>
      </x:c>
      <x:c r="C77" s="127" t="str">
        <x:v>2026-07-21</x:v>
      </x:c>
      <x:c r="D77" s="127" t="str">
        <x:v>19f85f87b29fb5f5</x:v>
      </x:c>
      <x:c r="E77" s="127" t="str">
        <x:v>19f85f87b29fb5f5</x:v>
      </x:c>
      <x:c r="F77" s="127" t="str">
        <x:v>Сайт OTXODI.RU -проблема</x:v>
      </x:c>
      <x:c r="G77" s="127" t="str">
        <x:v>Проблемы на сайте otxodi.ru на 21.07.2026.docx</x:v>
      </x:c>
      <x:c r="H77" s="127" t="str">
        <x:v>4144745 bytes; вложение прочитано полностью</x:v>
      </x:c>
    </x:row>
    <x:row r="78" ht="54" hidden="0" customHeight="1">
      <x:c r="A78" s="127" t="n">
        <x:v>74</x:v>
      </x:c>
      <x:c r="B78" s="127" t="str">
        <x:v>DOCX attachment</x:v>
      </x:c>
      <x:c r="C78" s="127" t="str">
        <x:v>2026-07-21</x:v>
      </x:c>
      <x:c r="D78" s="127" t="str">
        <x:v>19f85fde5bf0b12f</x:v>
      </x:c>
      <x:c r="E78" s="127" t="str">
        <x:v>19f85fde5bf0b12f</x:v>
      </x:c>
      <x:c r="F78" s="127" t="str">
        <x:v>Сайт lfsb.ru -проблемы</x:v>
      </x:c>
      <x:c r="G78" s="127" t="str">
        <x:v>Проблемы на сайте lfsb.ru на 21.07.2026.docx</x:v>
      </x:c>
      <x:c r="H78" s="127" t="str">
        <x:v>972395 bytes; вложение прочитано полностью</x:v>
      </x:c>
    </x:row>
    <x:row r="79" ht="64.80000305175781" hidden="0" customHeight="1">
      <x:c r="A79" s="127" t="n">
        <x:v>75</x:v>
      </x:c>
      <x:c r="B79" s="127" t="str">
        <x:v>DOCX attachment</x:v>
      </x:c>
      <x:c r="C79" s="127" t="str">
        <x:v>2026-07-22</x:v>
      </x:c>
      <x:c r="D79" s="127" t="str">
        <x:v>19f88c0521ec6e9b</x:v>
      </x:c>
      <x:c r="E79" s="127" t="str">
        <x:v>19f88c0521ec6e9b</x:v>
      </x:c>
      <x:c r="F79" s="127" t="str">
        <x:v>Сайт APREAL.SPB.RU -проблемы</x:v>
      </x:c>
      <x:c r="G79" s="127" t="str">
        <x:v>Проблемы на сайте apreal.spb.ru на 22.07.2026.docx</x:v>
      </x:c>
      <x:c r="H79" s="127" t="str">
        <x:v>3061439 bytes; вложение прочитано полностью</x:v>
      </x:c>
    </x:row>
    <x:row r="80" ht="64.80000305175781" hidden="0" customHeight="1">
      <x:c r="A80" s="127" t="n">
        <x:v>76</x:v>
      </x:c>
      <x:c r="B80" s="127" t="str">
        <x:v>DOCX attachment</x:v>
      </x:c>
      <x:c r="C80" s="127" t="str">
        <x:v>2026-07-22</x:v>
      </x:c>
      <x:c r="D80" s="127" t="str">
        <x:v>19f88d9b1e7d12ec</x:v>
      </x:c>
      <x:c r="E80" s="127" t="str">
        <x:v>19f88d9b1e7d12ec</x:v>
      </x:c>
      <x:c r="F80" s="127" t="str">
        <x:v>Сайт LICENSE39.RU -проблема</x:v>
      </x:c>
      <x:c r="G80" s="127" t="str">
        <x:v>Проблемы на сайте LICENSE39.RU на 22.07.2026.docx</x:v>
      </x:c>
      <x:c r="H80" s="127" t="str">
        <x:v>3591380 bytes; вложение прочитано полностью</x:v>
      </x:c>
    </x:row>
    <x:row r="81" ht="64.80000305175781" hidden="0" customHeight="1">
      <x:c r="A81" s="127" t="n">
        <x:v>77</x:v>
      </x:c>
      <x:c r="B81" s="127" t="str">
        <x:v>DOCX attachment</x:v>
      </x:c>
      <x:c r="C81" s="127" t="str">
        <x:v>2026-07-22</x:v>
      </x:c>
      <x:c r="D81" s="127" t="str">
        <x:v>19f88e0d74b8928e</x:v>
      </x:c>
      <x:c r="E81" s="127" t="str">
        <x:v>19f88e0d74b8928e</x:v>
      </x:c>
      <x:c r="F81" s="127" t="str">
        <x:v>Сайт APREAL36.RU -проблема</x:v>
      </x:c>
      <x:c r="G81" s="127" t="str">
        <x:v>Проблемы на сайте APREAL36.RU на 22.07.2026.docx</x:v>
      </x:c>
      <x:c r="H81" s="127" t="str">
        <x:v>1447580 bytes; вложение прочитано полностью</x:v>
      </x:c>
    </x:row>
    <x:row r="82" ht="64.80000305175781" hidden="0" customHeight="1">
      <x:c r="A82" s="127" t="n">
        <x:v>78</x:v>
      </x:c>
      <x:c r="B82" s="127" t="str">
        <x:v>DOCX attachment</x:v>
      </x:c>
      <x:c r="C82" s="127" t="str">
        <x:v>2026-07-22</x:v>
      </x:c>
      <x:c r="D82" s="127" t="str">
        <x:v>19f88ec9dbdfcdf0</x:v>
      </x:c>
      <x:c r="E82" s="127" t="str">
        <x:v>19f88ec9dbdfcdf0</x:v>
      </x:c>
      <x:c r="F82" s="127" t="str">
        <x:v>Сайт APREAL-NN.RU -проблема</x:v>
      </x:c>
      <x:c r="G82" s="127" t="str">
        <x:v>Проблемы на сайте APREAL-NN.RU на 22.07.2026.docx</x:v>
      </x:c>
      <x:c r="H82" s="127" t="str">
        <x:v>3070072 bytes; вложение прочитано полностью</x:v>
      </x:c>
    </x:row>
    <x:row r="83" ht="64.80000305175781" hidden="0" customHeight="1">
      <x:c r="A83" s="127" t="n">
        <x:v>79</x:v>
      </x:c>
      <x:c r="B83" s="127" t="str">
        <x:v>DOCX attachment</x:v>
      </x:c>
      <x:c r="C83" s="127" t="str">
        <x:v>2026-07-22</x:v>
      </x:c>
      <x:c r="D83" s="127" t="str">
        <x:v>19f8913e3dde5886</x:v>
      </x:c>
      <x:c r="E83" s="127" t="str">
        <x:v>19f8913e3dde5886</x:v>
      </x:c>
      <x:c r="F83" s="127" t="str">
        <x:v>Сайт APREAL72.RU -проблема</x:v>
      </x:c>
      <x:c r="G83" s="127" t="str">
        <x:v>Проблемы на сайте APREAL72.RU на 22.07.2026.docx</x:v>
      </x:c>
      <x:c r="H83" s="127" t="str">
        <x:v>2257666 bytes; вложение прочитано полностью</x:v>
      </x:c>
    </x:row>
    <x:row r="84" ht="64.80000305175781" hidden="0" customHeight="1">
      <x:c r="A84" s="127" t="n">
        <x:v>80</x:v>
      </x:c>
      <x:c r="B84" s="127" t="str">
        <x:v>DOCX attachment</x:v>
      </x:c>
      <x:c r="C84" s="127" t="str">
        <x:v>2026-07-22</x:v>
      </x:c>
      <x:c r="D84" s="127" t="str">
        <x:v>19f891d2bdc8ae00</x:v>
      </x:c>
      <x:c r="E84" s="127" t="str">
        <x:v>19f891d2bdc8ae00</x:v>
      </x:c>
      <x:c r="F84" s="127" t="str">
        <x:v>Сайт SHOPAP.RU -проблема</x:v>
      </x:c>
      <x:c r="G84" s="127" t="str">
        <x:v>Проблемы на сайте SHOPAP.RU на 22.07.2026.docx</x:v>
      </x:c>
      <x:c r="H84" s="127" t="str">
        <x:v>317640 bytes; вложение прочитано полностью</x:v>
      </x:c>
    </x:row>
    <x:row r="85" ht="54" hidden="0" customHeight="1">
      <x:c r="A85" s="127" t="n">
        <x:v>81</x:v>
      </x:c>
      <x:c r="B85" s="127" t="str">
        <x:v>DOCX attachment</x:v>
      </x:c>
      <x:c r="C85" s="127" t="str">
        <x:v>2026-07-22</x:v>
      </x:c>
      <x:c r="D85" s="127" t="str">
        <x:v>19f8936c6a649175</x:v>
      </x:c>
      <x:c r="E85" s="127" t="str">
        <x:v>19f8936c6a649175</x:v>
      </x:c>
      <x:c r="F85" s="127" t="str">
        <x:v>Сайт NOUSRO.RU -проблема</x:v>
      </x:c>
      <x:c r="G85" s="127" t="str">
        <x:v>Проблемы на сайте nousro.ru на 22.07.2026.docx</x:v>
      </x:c>
      <x:c r="H85" s="127" t="str">
        <x:v>604153 bytes; вложение прочитано полностью</x:v>
      </x:c>
    </x:row>
    <x:row r="86" ht="64.80000305175781" hidden="0" customHeight="1">
      <x:c r="A86" s="127" t="n">
        <x:v>82</x:v>
      </x:c>
      <x:c r="B86" s="127" t="str">
        <x:v>DOCX attachment</x:v>
      </x:c>
      <x:c r="C86" s="127" t="str">
        <x:v>2026-07-22</x:v>
      </x:c>
      <x:c r="D86" s="127" t="str">
        <x:v>19f8945e74138f0f</x:v>
      </x:c>
      <x:c r="E86" s="127" t="str">
        <x:v>19f8945e74138f0f</x:v>
      </x:c>
      <x:c r="F86" s="127" t="str">
        <x:v>Сайт NOUSRO-SPB.RU -проблема</x:v>
      </x:c>
      <x:c r="G86" s="127" t="str">
        <x:v>Проблемы на сайте nousro-spb.ru на 22.07.2026.docx</x:v>
      </x:c>
      <x:c r="H86" s="127" t="str">
        <x:v>389342 bytes; вложение прочитано полностью</x:v>
      </x:c>
    </x:row>
    <x:row r="87" ht="64.80000305175781" hidden="0" customHeight="1">
      <x:c r="A87" s="127" t="n">
        <x:v>83</x:v>
      </x:c>
      <x:c r="B87" s="127" t="str">
        <x:v>DOCX attachment</x:v>
      </x:c>
      <x:c r="C87" s="127" t="str">
        <x:v>2026-07-22</x:v>
      </x:c>
      <x:c r="D87" s="127" t="str">
        <x:v>19f894bb77b5a48e</x:v>
      </x:c>
      <x:c r="E87" s="127" t="str">
        <x:v>19f894bb77b5a48e</x:v>
      </x:c>
      <x:c r="F87" s="127" t="str">
        <x:v>Сайт MUC-VRN.RU -проблемы</x:v>
      </x:c>
      <x:c r="G87" s="127" t="str">
        <x:v>Проблемы на сайте MUC-VRN.RU на 22.07.2026.docx</x:v>
      </x:c>
      <x:c r="H87" s="127" t="str">
        <x:v>1098927 bytes; вложение прочитано полностью</x:v>
      </x:c>
    </x:row>
    <x:row r="88" ht="97.19999694824219" hidden="0" customHeight="1">
      <x:c r="A88" s="127" t="n">
        <x:v>84</x:v>
      </x:c>
      <x:c r="B88" s="127" t="str">
        <x:v>DOCX attachment</x:v>
      </x:c>
      <x:c r="C88" s="127" t="str">
        <x:v>2026-07-22</x:v>
      </x:c>
      <x:c r="D88" s="127" t="str">
        <x:v>19f89d967a7ba246</x:v>
      </x:c>
      <x:c r="E88" s="127" t="str">
        <x:v>19f89a7f553789d6</x:v>
      </x:c>
      <x:c r="F88" s="127" t="str">
        <x:v>Re: Исправления по NOUSRO.RU, NOUSRO-SPB.RU и MUC-VRN.RU выполнены</x:v>
      </x:c>
      <x:c r="G88" s="127" t="str">
        <x:v>Проблемы на сайте nousro-spb.ru на 22.07.2026.docx</x:v>
      </x:c>
      <x:c r="H88" s="127" t="str">
        <x:v>363483 bytes; вложение прочитано полностью</x:v>
      </x:c>
    </x:row>
    <x:row r="89" ht="54" hidden="0" customHeight="1">
      <x:c r="A89" s="127" t="n">
        <x:v>85</x:v>
      </x:c>
      <x:c r="B89" s="127" t="str">
        <x:v>DOCX attachment</x:v>
      </x:c>
      <x:c r="C89" s="127" t="str">
        <x:v>2026-07-22</x:v>
      </x:c>
      <x:c r="D89" s="127" t="str">
        <x:v>19f89dd6877a63f3</x:v>
      </x:c>
      <x:c r="E89" s="127" t="str">
        <x:v>19f89dd6877a63f3</x:v>
      </x:c>
      <x:c r="F89" s="127" t="str">
        <x:v>Сайт NOUSRO.RU -проблема</x:v>
      </x:c>
      <x:c r="G89" s="127" t="str">
        <x:v>Проблемы на сайте nousro.ru на 22.07.2026.docx</x:v>
      </x:c>
      <x:c r="H89" s="127" t="str">
        <x:v>590758 bytes; вложение прочитано полностью</x:v>
      </x:c>
    </x:row>
    <x:row r="90" ht="64.80000305175781" hidden="0" customHeight="1">
      <x:c r="A90" s="127" t="n">
        <x:v>86</x:v>
      </x:c>
      <x:c r="B90" s="127" t="str">
        <x:v>DOCX attachment</x:v>
      </x:c>
      <x:c r="C90" s="127" t="str">
        <x:v>2026-07-22</x:v>
      </x:c>
      <x:c r="D90" s="127" t="str">
        <x:v>19f89dff00f5faf5</x:v>
      </x:c>
      <x:c r="E90" s="127" t="str">
        <x:v>19f89dff00f5faf5</x:v>
      </x:c>
      <x:c r="F90" s="127" t="str">
        <x:v>Сайт ED-KGD.RU -проблема</x:v>
      </x:c>
      <x:c r="G90" s="127" t="str">
        <x:v>Проблемы на сайте ED-KGD.RU на 22.07.2026.docx</x:v>
      </x:c>
      <x:c r="H90" s="127" t="str">
        <x:v>605298 bytes; вложение прочитано полностью</x:v>
      </x:c>
    </x:row>
    <x:row r="91" ht="64.80000305175781" hidden="0" customHeight="1">
      <x:c r="A91" s="127" t="n">
        <x:v>87</x:v>
      </x:c>
      <x:c r="B91" s="127" t="str">
        <x:v>DOCX attachment</x:v>
      </x:c>
      <x:c r="C91" s="127" t="str">
        <x:v>2026-07-23</x:v>
      </x:c>
      <x:c r="D91" s="127" t="str">
        <x:v>19f8ddb56aa0a926</x:v>
      </x:c>
      <x:c r="E91" s="127" t="str">
        <x:v>19f8a977b2aba2e9</x:v>
      </x:c>
      <x:c r="F91" s="127" t="str">
        <x:v>Re: Итог по исправлениям сайтов от 22.07.2026</x:v>
      </x:c>
      <x:c r="G91" s="127" t="str">
        <x:v>Проблемы на сайте SHOPAP.RU на 23.07.2026.docx</x:v>
      </x:c>
      <x:c r="H91" s="127" t="str">
        <x:v>266119 bytes; вложение прочитано полностью</x:v>
      </x:c>
    </x:row>
    <x:row r="92" ht="64.80000305175781" hidden="0" customHeight="1">
      <x:c r="A92" s="127" t="n">
        <x:v>88</x:v>
      </x:c>
      <x:c r="B92" s="127" t="str">
        <x:v>DOCX attachment</x:v>
      </x:c>
      <x:c r="C92" s="127" t="str">
        <x:v>2026-07-23</x:v>
      </x:c>
      <x:c r="D92" s="127" t="str">
        <x:v>19f8ddb56aa0a926</x:v>
      </x:c>
      <x:c r="E92" s="127" t="str">
        <x:v>19f8a977b2aba2e9</x:v>
      </x:c>
      <x:c r="F92" s="127" t="str">
        <x:v>Re: Итог по исправлениям сайтов от 22.07.2026</x:v>
      </x:c>
      <x:c r="G92" s="127" t="str">
        <x:v>Проблемы на сайте APREAL-NN.RU на 23.07.2026.docx</x:v>
      </x:c>
      <x:c r="H92" s="127" t="str">
        <x:v>621218 bytes; вложение прочитано полностью</x:v>
      </x:c>
    </x:row>
    <x:row r="93" ht="64.80000305175781" hidden="0" customHeight="1">
      <x:c r="A93" s="127" t="n">
        <x:v>89</x:v>
      </x:c>
      <x:c r="B93" s="127" t="str">
        <x:v>DOCX attachment</x:v>
      </x:c>
      <x:c r="C93" s="127" t="str">
        <x:v>2026-07-23</x:v>
      </x:c>
      <x:c r="D93" s="127" t="str">
        <x:v>19f8ddb56aa0a926</x:v>
      </x:c>
      <x:c r="E93" s="127" t="str">
        <x:v>19f8a977b2aba2e9</x:v>
      </x:c>
      <x:c r="F93" s="127" t="str">
        <x:v>Re: Итог по исправлениям сайтов от 22.07.2026</x:v>
      </x:c>
      <x:c r="G93" s="127" t="str">
        <x:v>Проблемы на сайте APREAL36.RU на 23.07.2026.docx</x:v>
      </x:c>
      <x:c r="H93" s="127" t="str">
        <x:v>814296 bytes; вложение прочитано полностью</x:v>
      </x:c>
    </x:row>
    <x:row r="94" ht="64.80000305175781" hidden="0" customHeight="1">
      <x:c r="A94" s="127" t="n">
        <x:v>90</x:v>
      </x:c>
      <x:c r="B94" s="127" t="str">
        <x:v>DOCX attachment</x:v>
      </x:c>
      <x:c r="C94" s="127" t="str">
        <x:v>2026-07-23</x:v>
      </x:c>
      <x:c r="D94" s="127" t="str">
        <x:v>19f8ddb56aa0a926</x:v>
      </x:c>
      <x:c r="E94" s="127" t="str">
        <x:v>19f8a977b2aba2e9</x:v>
      </x:c>
      <x:c r="F94" s="127" t="str">
        <x:v>Re: Итог по исправлениям сайтов от 22.07.2026</x:v>
      </x:c>
      <x:c r="G94" s="127" t="str">
        <x:v>Проблемы на сайте LICENSE39.RU на 23.07.2026.docx</x:v>
      </x:c>
      <x:c r="H94" s="127" t="str">
        <x:v>722694 bytes; вложение прочитано полностью</x:v>
      </x:c>
    </x:row>
    <x:row r="95" ht="64.80000305175781" hidden="0" customHeight="1">
      <x:c r="A95" s="127" t="n">
        <x:v>91</x:v>
      </x:c>
      <x:c r="B95" s="127" t="str">
        <x:v>DOCX attachment</x:v>
      </x:c>
      <x:c r="C95" s="127" t="str">
        <x:v>2026-07-23</x:v>
      </x:c>
      <x:c r="D95" s="127" t="str">
        <x:v>19f8ddb56aa0a926</x:v>
      </x:c>
      <x:c r="E95" s="127" t="str">
        <x:v>19f8a977b2aba2e9</x:v>
      </x:c>
      <x:c r="F95" s="127" t="str">
        <x:v>Re: Итог по исправлениям сайтов от 22.07.2026</x:v>
      </x:c>
      <x:c r="G95" s="127" t="str">
        <x:v>Проблемы на сайте apreal.spb.ru на 22.07.2026.docx</x:v>
      </x:c>
      <x:c r="H95" s="127" t="str">
        <x:v>1524651 bytes; вложение прочитано полностью</x:v>
      </x:c>
    </x:row>
    <x:row r="96" ht="97.19999694824219" hidden="0" customHeight="1">
      <x:c r="A96" s="127" t="n">
        <x:v>92</x:v>
      </x:c>
      <x:c r="B96" s="127" t="str">
        <x:v>DOCX attachment</x:v>
      </x:c>
      <x:c r="C96" s="127" t="str">
        <x:v>2026-07-23</x:v>
      </x:c>
      <x:c r="D96" s="127" t="str">
        <x:v>19f8de7a687ed657</x:v>
      </x:c>
      <x:c r="E96" s="127" t="str">
        <x:v>19f89a7f553789d6</x:v>
      </x:c>
      <x:c r="F96" s="127" t="str">
        <x:v>Re: Исправления по NOUSRO.RU, NOUSRO-SPB.RU и MUC-VRN.RU выполнены</x:v>
      </x:c>
      <x:c r="G96" s="127" t="str">
        <x:v>Проблемы на сайте nousro-spb.ru на 23.07.2026.docx</x:v>
      </x:c>
      <x:c r="H96" s="127" t="str">
        <x:v>355521 bytes; вложение прочитано полностью</x:v>
      </x:c>
    </x:row>
    <x:row r="97" ht="97.19999694824219" hidden="0" customHeight="1">
      <x:c r="A97" s="127" t="n">
        <x:v>93</x:v>
      </x:c>
      <x:c r="B97" s="127" t="str">
        <x:v>DOCX attachment</x:v>
      </x:c>
      <x:c r="C97" s="127" t="str">
        <x:v>2026-07-23</x:v>
      </x:c>
      <x:c r="D97" s="127" t="str">
        <x:v>19f8df3514d3299b</x:v>
      </x:c>
      <x:c r="E97" s="127" t="str">
        <x:v>19f89a7f553789d6</x:v>
      </x:c>
      <x:c r="F97" s="127" t="str">
        <x:v>Re: Исправления по NOUSRO.RU, NOUSRO-SPB.RU и MUC-VRN.RU выполнены</x:v>
      </x:c>
      <x:c r="G97" s="127" t="str">
        <x:v>Проблемы на сайте nousro.ru на 23.07.2026.docx</x:v>
      </x:c>
      <x:c r="H97" s="127" t="str">
        <x:v>381514 bytes; вложение прочитано полностью</x:v>
      </x:c>
    </x:row>
    <x:row r="98" ht="64.80000305175781" hidden="0" customHeight="1">
      <x:c r="A98" s="127" t="n">
        <x:v>94</x:v>
      </x:c>
      <x:c r="B98" s="127" t="str">
        <x:v>DOCX attachment</x:v>
      </x:c>
      <x:c r="C98" s="127" t="str">
        <x:v>2026-07-23</x:v>
      </x:c>
      <x:c r="D98" s="127" t="str">
        <x:v>19f90007765f9ed6</x:v>
      </x:c>
      <x:c r="E98" s="127" t="str">
        <x:v>19f90007765f9ed6</x:v>
      </x:c>
      <x:c r="F98" s="127" t="str">
        <x:v>APREAL.SPB.RU никак не исправлено с прошлого письма</x:v>
      </x:c>
      <x:c r="G98" s="127" t="str">
        <x:v>Проблемы на сайте apreal.spb.ru на 23.07.2026.docx</x:v>
      </x:c>
      <x:c r="H98" s="127" t="str">
        <x:v>1112430 bytes; вложение прочитано полностью</x:v>
      </x:c>
    </x:row>
    <x:row r="99" ht="64.80000305175781" hidden="0" customHeight="1">
      <x:c r="A99" s="127" t="n">
        <x:v>95</x:v>
      </x:c>
      <x:c r="B99" s="127" t="str">
        <x:v>DOCX attachment</x:v>
      </x:c>
      <x:c r="C99" s="127" t="str">
        <x:v>2026-07-23</x:v>
      </x:c>
      <x:c r="D99" s="127" t="str">
        <x:v>19f90041e137ee00</x:v>
      </x:c>
      <x:c r="E99" s="127" t="str">
        <x:v>19f90041e137ee00</x:v>
      </x:c>
      <x:c r="F99" s="127" t="str">
        <x:v>LICENSE39.RU</x:v>
      </x:c>
      <x:c r="G99" s="127" t="str">
        <x:v>Проблемы на сайте LICENSE39.RU на 23.07.2026.docx</x:v>
      </x:c>
      <x:c r="H99" s="127" t="str">
        <x:v>722694 bytes; вложение прочитано полностью</x:v>
      </x:c>
    </x:row>
    <x:row r="100" ht="64.80000305175781" hidden="0" customHeight="1">
      <x:c r="A100" s="127" t="n">
        <x:v>96</x:v>
      </x:c>
      <x:c r="B100" s="127" t="str">
        <x:v>DOCX attachment</x:v>
      </x:c>
      <x:c r="C100" s="127" t="str">
        <x:v>2026-07-23</x:v>
      </x:c>
      <x:c r="D100" s="127" t="str">
        <x:v>19f900a3dcd6aa12</x:v>
      </x:c>
      <x:c r="E100" s="127" t="str">
        <x:v>19f900a3dcd6aa12</x:v>
      </x:c>
      <x:c r="F100" s="127" t="str">
        <x:v>APREAL36.RU</x:v>
      </x:c>
      <x:c r="G100" s="127" t="str">
        <x:v>Проблемы на сайте APREAL36.RU на 23.07.2026.docx</x:v>
      </x:c>
      <x:c r="H100" s="127" t="str">
        <x:v>2339724 bytes; вложение прочитано полностью</x:v>
      </x:c>
    </x:row>
    <x:row r="101" ht="64.80000305175781" hidden="0" customHeight="1">
      <x:c r="A101" s="127" t="n">
        <x:v>97</x:v>
      </x:c>
      <x:c r="B101" s="127" t="str">
        <x:v>DOCX attachment</x:v>
      </x:c>
      <x:c r="C101" s="127" t="str">
        <x:v>2026-07-23</x:v>
      </x:c>
      <x:c r="D101" s="127" t="str">
        <x:v>19f900cb24eb192c</x:v>
      </x:c>
      <x:c r="E101" s="127" t="str">
        <x:v>19f900cb24eb192c</x:v>
      </x:c>
      <x:c r="F101" s="127" t="str">
        <x:v>APREAL-NN.RU</x:v>
      </x:c>
      <x:c r="G101" s="127" t="str">
        <x:v>Проблемы на сайте APREAL-NN.RU на 23.07.2026.docx</x:v>
      </x:c>
      <x:c r="H101" s="127" t="str">
        <x:v>621218 bytes; вложение прочитано полностью</x:v>
      </x:c>
    </x:row>
    <x:row r="102" ht="54" hidden="0" customHeight="1">
      <x:c r="A102" s="127" t="n">
        <x:v>98</x:v>
      </x:c>
      <x:c r="B102" s="127" t="str">
        <x:v>DOCX attachment</x:v>
      </x:c>
      <x:c r="C102" s="127" t="str">
        <x:v>2026-07-23</x:v>
      </x:c>
      <x:c r="D102" s="127" t="str">
        <x:v>19f901b89f3bd18c</x:v>
      </x:c>
      <x:c r="E102" s="127" t="str">
        <x:v>19f901b89f3bd18c</x:v>
      </x:c>
      <x:c r="F102" s="127" t="str">
        <x:v>NOUSRO-NN.RU</x:v>
      </x:c>
      <x:c r="G102" s="127" t="str">
        <x:v>Проблемы с NOUSRO-NN.RU на 23.07.2026.docx</x:v>
      </x:c>
      <x:c r="H102" s="127" t="str">
        <x:v>796706 bytes; вложение прочитано полностью</x:v>
      </x:c>
    </x:row>
    <x:row r="103" ht="64.80000305175781" hidden="0" customHeight="1">
      <x:c r="A103" s="127" t="n">
        <x:v>99</x:v>
      </x:c>
      <x:c r="B103" s="127" t="str">
        <x:v>DOCX attachment</x:v>
      </x:c>
      <x:c r="C103" s="127" t="str">
        <x:v>2026-07-23</x:v>
      </x:c>
      <x:c r="D103" s="127" t="str">
        <x:v>19f901f92d897c47</x:v>
      </x:c>
      <x:c r="E103" s="127" t="str">
        <x:v>19f901f92d897c47</x:v>
      </x:c>
      <x:c r="F103" s="127" t="str">
        <x:v>SHOPAP.RU</x:v>
      </x:c>
      <x:c r="G103" s="127" t="str">
        <x:v>Проблемы на сайте SHOPAP.RU на 23.07.2026.docx</x:v>
      </x:c>
      <x:c r="H103" s="127" t="str">
        <x:v>266119 bytes; вложение прочитано полностью</x:v>
      </x:c>
    </x:row>
    <x:row r="104" ht="54" hidden="0" customHeight="1">
      <x:c r="A104" s="127" t="n">
        <x:v>100</x:v>
      </x:c>
      <x:c r="B104" s="127" t="str">
        <x:v>DOCX attachment</x:v>
      </x:c>
      <x:c r="C104" s="127" t="str">
        <x:v>2026-07-24</x:v>
      </x:c>
      <x:c r="D104" s="127" t="str">
        <x:v>19f929459b39be8a</x:v>
      </x:c>
      <x:c r="E104" s="127" t="str">
        <x:v>19f8a977b2aba2e9</x:v>
      </x:c>
      <x:c r="F104" s="127" t="str">
        <x:v>Re: Итог по исправлениям сайтов от 22.07.2026</x:v>
      </x:c>
      <x:c r="G104" s="127" t="str">
        <x:v>Проблемы с NOUSRO-NN.RU на 24.07.2026.docx</x:v>
      </x:c>
      <x:c r="H104" s="127" t="str">
        <x:v>796706 bytes; вложение прочитано полностью</x:v>
      </x:c>
    </x:row>
    <x:row r="105" ht="64.80000305175781" hidden="0" customHeight="1">
      <x:c r="A105" s="127" t="n">
        <x:v>101</x:v>
      </x:c>
      <x:c r="B105" s="127" t="str">
        <x:v>DOCX attachment</x:v>
      </x:c>
      <x:c r="C105" s="127" t="str">
        <x:v>2026-07-24</x:v>
      </x:c>
      <x:c r="D105" s="127" t="str">
        <x:v>19f929459b39be8a</x:v>
      </x:c>
      <x:c r="E105" s="127" t="str">
        <x:v>19f8a977b2aba2e9</x:v>
      </x:c>
      <x:c r="F105" s="127" t="str">
        <x:v>Re: Итог по исправлениям сайтов от 22.07.2026</x:v>
      </x:c>
      <x:c r="G105" s="127" t="str">
        <x:v>Проблемы на сайте SHOPAP.RU на 24.07.2026.docx</x:v>
      </x:c>
      <x:c r="H105" s="127" t="str">
        <x:v>710174 bytes; вложение прочитано полностью</x:v>
      </x:c>
    </x:row>
    <x:row r="106" ht="64.80000305175781" hidden="0" customHeight="1">
      <x:c r="A106" s="127" t="n">
        <x:v>102</x:v>
      </x:c>
      <x:c r="B106" s="127" t="str">
        <x:v>DOCX attachment</x:v>
      </x:c>
      <x:c r="C106" s="127" t="str">
        <x:v>2026-07-24</x:v>
      </x:c>
      <x:c r="D106" s="127" t="str">
        <x:v>19f929459b39be8a</x:v>
      </x:c>
      <x:c r="E106" s="127" t="str">
        <x:v>19f8a977b2aba2e9</x:v>
      </x:c>
      <x:c r="F106" s="127" t="str">
        <x:v>Re: Итог по исправлениям сайтов от 22.07.2026</x:v>
      </x:c>
      <x:c r="G106" s="127" t="str">
        <x:v>Проблемы на сайте SHOPAP.RU на 24.07.2026.docx</x:v>
      </x:c>
      <x:c r="H106" s="127" t="str">
        <x:v>298187 bytes; вложение прочитано полностью</x:v>
      </x:c>
    </x:row>
    <x:row r="107" ht="54" hidden="0" customHeight="1">
      <x:c r="A107" s="127" t="n">
        <x:v>103</x:v>
      </x:c>
      <x:c r="B107" s="127" t="str">
        <x:v>DOCX attachment</x:v>
      </x:c>
      <x:c r="C107" s="127" t="str">
        <x:v>2026-07-24</x:v>
      </x:c>
      <x:c r="D107" s="127" t="str">
        <x:v>19f929459b39be8a</x:v>
      </x:c>
      <x:c r="E107" s="127" t="str">
        <x:v>19f8a977b2aba2e9</x:v>
      </x:c>
      <x:c r="F107" s="127" t="str">
        <x:v>Re: Итог по исправлениям сайтов от 22.07.2026</x:v>
      </x:c>
      <x:c r="G107" s="127" t="str">
        <x:v>Проблемы на сайте apreal.ru на 24.07.2026.docx</x:v>
      </x:c>
      <x:c r="H107" s="127" t="str">
        <x:v>414370 bytes; вложение прочитано полностью</x:v>
      </x:c>
    </x:row>
    <x:row r="108" ht="64.80000305175781" hidden="0" customHeight="1">
      <x:c r="A108" s="127" t="n">
        <x:v>104</x:v>
      </x:c>
      <x:c r="B108" s="127" t="str">
        <x:v>DOCX attachment</x:v>
      </x:c>
      <x:c r="C108" s="127" t="str">
        <x:v>2026-07-24</x:v>
      </x:c>
      <x:c r="D108" s="127" t="str">
        <x:v>19f929459b39be8a</x:v>
      </x:c>
      <x:c r="E108" s="127" t="str">
        <x:v>19f8a977b2aba2e9</x:v>
      </x:c>
      <x:c r="F108" s="127" t="str">
        <x:v>Re: Итог по исправлениям сайтов от 22.07.2026</x:v>
      </x:c>
      <x:c r="G108" s="127" t="str">
        <x:v>Проблемы на сайте APREAL-NN.RU на 24.07.2026.docx</x:v>
      </x:c>
      <x:c r="H108" s="127" t="str">
        <x:v>494231 bytes; вложение прочитано полностью</x:v>
      </x:c>
    </x:row>
    <x:row r="109" ht="64.80000305175781" hidden="0" customHeight="1">
      <x:c r="A109" s="127" t="n">
        <x:v>105</x:v>
      </x:c>
      <x:c r="B109" s="127" t="str">
        <x:v>DOCX attachment</x:v>
      </x:c>
      <x:c r="C109" s="127" t="str">
        <x:v>2026-07-24</x:v>
      </x:c>
      <x:c r="D109" s="127" t="str">
        <x:v>19f929459b39be8a</x:v>
      </x:c>
      <x:c r="E109" s="127" t="str">
        <x:v>19f8a977b2aba2e9</x:v>
      </x:c>
      <x:c r="F109" s="127" t="str">
        <x:v>Re: Итог по исправлениям сайтов от 22.07.2026</x:v>
      </x:c>
      <x:c r="G109" s="127" t="str">
        <x:v>Проблемы на сайте LICENSE39.RU на 24.07.2026.docx</x:v>
      </x:c>
      <x:c r="H109" s="127" t="str">
        <x:v>871470 bytes; вложение прочитано полностью</x:v>
      </x:c>
    </x:row>
    <x:row r="110" ht="64.80000305175781" hidden="0" customHeight="1">
      <x:c r="A110" s="127" t="n">
        <x:v>106</x:v>
      </x:c>
      <x:c r="B110" s="127" t="str">
        <x:v>DOCX attachment</x:v>
      </x:c>
      <x:c r="C110" s="127" t="str">
        <x:v>2026-07-24</x:v>
      </x:c>
      <x:c r="D110" s="127" t="str">
        <x:v>19f929459b39be8a</x:v>
      </x:c>
      <x:c r="E110" s="127" t="str">
        <x:v>19f8a977b2aba2e9</x:v>
      </x:c>
      <x:c r="F110" s="127" t="str">
        <x:v>Re: Итог по исправлениям сайтов от 22.07.2026</x:v>
      </x:c>
      <x:c r="G110" s="127" t="str">
        <x:v>Проблемы на сайте apreal.spb.ru на 24.07.2026.docx</x:v>
      </x:c>
      <x:c r="H110" s="127" t="str">
        <x:v>590717 bytes; вложение прочитано полностью</x:v>
      </x:c>
    </x:row>
    <x:row r="111" ht="54" hidden="0" customHeight="1">
      <x:c r="A111" s="127" t="n">
        <x:v>107</x:v>
      </x:c>
      <x:c r="B111" s="127" t="str">
        <x:v>DOCX attachment</x:v>
      </x:c>
      <x:c r="C111" s="127" t="str">
        <x:v>2026-07-24</x:v>
      </x:c>
      <x:c r="D111" s="127" t="str">
        <x:v>19f9364d5055062a</x:v>
      </x:c>
      <x:c r="E111" s="127" t="str">
        <x:v>19f9364d5055062a</x:v>
      </x:c>
      <x:c r="F111" s="127" t="str">
        <x:v>сайт DOCP.RU</x:v>
      </x:c>
      <x:c r="G111" s="127" t="str">
        <x:v>Проблемы на сайте DOCP.RU на 24.07.2026.docx</x:v>
      </x:c>
      <x:c r="H111" s="127" t="str">
        <x:v>663723 bytes; вложение прочитано полностью</x:v>
      </x:c>
    </x:row>
    <x:row r="112" ht="86.4000015258789" hidden="0" customHeight="1">
      <x:c r="A112" s="127" t="n">
        <x:v>108</x:v>
      </x:c>
      <x:c r="B112" s="127" t="str">
        <x:v>DOCX attachment</x:v>
      </x:c>
      <x:c r="C112" s="127" t="str">
        <x:v>2026-07-24</x:v>
      </x:c>
      <x:c r="D112" s="127" t="str">
        <x:v>19f93f6222b8b5fc</x:v>
      </x:c>
      <x:c r="E112" s="127" t="str">
        <x:v>19f935839b9d04c9</x:v>
      </x:c>
      <x:c r="F112" s="127" t="str">
        <x:v>Re: Дополнение по LFSB.RU, OTXODI.RU и почте MCHS-SPB.RU</x:v>
      </x:c>
      <x:c r="G112" s="127" t="str">
        <x:v>Проблемы на сайте otxodi.ru на 24.07.2026.docx</x:v>
      </x:c>
      <x:c r="H112" s="127" t="str">
        <x:v>1994391 bytes; вложение прочитано полностью</x:v>
      </x:c>
    </x:row>
    <x:row r="113" ht="54" hidden="0" customHeight="1">
      <x:c r="A113" s="127" t="n">
        <x:v>109</x:v>
      </x:c>
      <x:c r="B113" s="127" t="str">
        <x:v>DOCX attachment</x:v>
      </x:c>
      <x:c r="C113" s="127" t="str">
        <x:v>2026-07-24</x:v>
      </x:c>
      <x:c r="D113" s="127" t="str">
        <x:v>19f9426f75b57d66</x:v>
      </x:c>
      <x:c r="E113" s="127" t="str">
        <x:v>19f8a977b2aba2e9</x:v>
      </x:c>
      <x:c r="F113" s="127" t="str">
        <x:v>Re: Итог по исправлениям сайтов от 22.07.2026</x:v>
      </x:c>
      <x:c r="G113" s="127" t="str">
        <x:v>Проблемы на сайте apreal.ru на 24.07.2026.docx</x:v>
      </x:c>
      <x:c r="H113" s="127" t="str">
        <x:v>1152108 bytes; вложение прочитано полностью</x:v>
      </x:c>
    </x:row>
    <x:row r="114" ht="64.80000305175781" hidden="0" customHeight="1">
      <x:c r="A114" s="127" t="n">
        <x:v>110</x:v>
      </x:c>
      <x:c r="B114" s="127" t="str">
        <x:v>DOCX attachment</x:v>
      </x:c>
      <x:c r="C114" s="127" t="str">
        <x:v>2026-07-24</x:v>
      </x:c>
      <x:c r="D114" s="127" t="str">
        <x:v>19f9426f75b57d66</x:v>
      </x:c>
      <x:c r="E114" s="127" t="str">
        <x:v>19f8a977b2aba2e9</x:v>
      </x:c>
      <x:c r="F114" s="127" t="str">
        <x:v>Re: Итог по исправлениям сайтов от 22.07.2026</x:v>
      </x:c>
      <x:c r="G114" s="127" t="str">
        <x:v>Проблемы на сайте APREAL-NN.RU на 24.07.2026.docx</x:v>
      </x:c>
      <x:c r="H114" s="127" t="str">
        <x:v>1266913 bytes; вложение прочитано полностью</x:v>
      </x:c>
    </x:row>
    <x:row r="115" ht="64.80000305175781" hidden="0" customHeight="1">
      <x:c r="A115" s="127" t="n">
        <x:v>111</x:v>
      </x:c>
      <x:c r="B115" s="127" t="str">
        <x:v>DOCX attachment</x:v>
      </x:c>
      <x:c r="C115" s="127" t="str">
        <x:v>2026-07-24</x:v>
      </x:c>
      <x:c r="D115" s="127" t="str">
        <x:v>19f9426f75b57d66</x:v>
      </x:c>
      <x:c r="E115" s="127" t="str">
        <x:v>19f8a977b2aba2e9</x:v>
      </x:c>
      <x:c r="F115" s="127" t="str">
        <x:v>Re: Итог по исправлениям сайтов от 22.07.2026</x:v>
      </x:c>
      <x:c r="G115" s="127" t="str">
        <x:v>Проблемы на сайте LICENSE39.RU на 24.07.2026.docx</x:v>
      </x:c>
      <x:c r="H115" s="127" t="str">
        <x:v>1725687 bytes; вложение прочитано полностью</x:v>
      </x:c>
    </x:row>
    <x:row r="116" ht="64.80000305175781" hidden="0" customHeight="1">
      <x:c r="A116" s="127" t="n">
        <x:v>112</x:v>
      </x:c>
      <x:c r="B116" s="127" t="str">
        <x:v>DOCX attachment</x:v>
      </x:c>
      <x:c r="C116" s="127" t="str">
        <x:v>2026-07-24</x:v>
      </x:c>
      <x:c r="D116" s="127" t="str">
        <x:v>19f9426f75b57d66</x:v>
      </x:c>
      <x:c r="E116" s="127" t="str">
        <x:v>19f8a977b2aba2e9</x:v>
      </x:c>
      <x:c r="F116" s="127" t="str">
        <x:v>Re: Итог по исправлениям сайтов от 22.07.2026</x:v>
      </x:c>
      <x:c r="G116" s="127" t="str">
        <x:v>Проблемы на сайте apreal.spb.ru на 24.07.2026.docx</x:v>
      </x:c>
      <x:c r="H116" s="127" t="str">
        <x:v>1061551 bytes; вложение прочитано полностью</x:v>
      </x:c>
    </x:row>
    <x:row r="117" ht="86.4000015258789" hidden="0" customHeight="1">
      <x:c r="A117" s="127" t="n">
        <x:v>113</x:v>
      </x:c>
      <x:c r="B117" s="127" t="str">
        <x:v>DOCX attachment</x:v>
      </x:c>
      <x:c r="C117" s="127" t="str">
        <x:v>2026-07-24</x:v>
      </x:c>
      <x:c r="D117" s="127" t="str">
        <x:v>19f946df58027438</x:v>
      </x:c>
      <x:c r="E117" s="127" t="str">
        <x:v>19f935839b9d04c9</x:v>
      </x:c>
      <x:c r="F117" s="127" t="str">
        <x:v>Re: Дополнение по LFSB.RU, OTXODI.RU и почте MCHS-SPB.RU</x:v>
      </x:c>
      <x:c r="G117" s="127" t="str">
        <x:v>Проблемы на сайте MCHS-SPB.RU на 24.07.2026.docx</x:v>
      </x:c>
      <x:c r="H117" s="127" t="str">
        <x:v>1108785 bytes; вложение прочитано полностью</x:v>
      </x:c>
    </x:row>
    <x:row r="118" ht="64.80000305175781" hidden="0" customHeight="1">
      <x:c r="A118" s="127" t="n">
        <x:v>114</x:v>
      </x:c>
      <x:c r="B118" s="127" t="str">
        <x:v>DOCX attachment</x:v>
      </x:c>
      <x:c r="C118" s="127" t="str">
        <x:v>2026-07-24</x:v>
      </x:c>
      <x:c r="D118" s="127" t="str">
        <x:v>19f94a452e638c2e</x:v>
      </x:c>
      <x:c r="E118" s="127" t="str">
        <x:v>19f8a977b2aba2e9</x:v>
      </x:c>
      <x:c r="F118" s="127" t="str">
        <x:v>Re: Итог по исправлениям сайтов от 22.07.2026</x:v>
      </x:c>
      <x:c r="G118" s="127" t="str">
        <x:v>Проблемы на сайте apreal.spb.ru на 24.07.2026.docx</x:v>
      </x:c>
      <x:c r="H118" s="127" t="str">
        <x:v>1061551 bytes; вложение прочитано полностью</x:v>
      </x:c>
    </x:row>
    <x:row r="119" ht="64.80000305175781" hidden="0" customHeight="1">
      <x:c r="A119" s="127" t="n">
        <x:v>115</x:v>
      </x:c>
      <x:c r="B119" s="127" t="str">
        <x:v>DOCX attachment</x:v>
      </x:c>
      <x:c r="C119" s="127" t="str">
        <x:v>2026-07-29</x:v>
      </x:c>
      <x:c r="D119" s="127" t="str">
        <x:v>19fadcf91905b5e6</x:v>
      </x:c>
      <x:c r="E119" s="127" t="str">
        <x:v>19f9a005ec1821e7</x:v>
      </x:c>
      <x:c r="F119" s="127" t="str">
        <x:v>Re: MEDLIC.SPB.RU</x:v>
      </x:c>
      <x:c r="G119" s="127" t="str">
        <x:v>Проблемы на сайте MEDLIC.SPB.RU на 29.07.2026.docx</x:v>
      </x:c>
      <x:c r="H119" s="127" t="str">
        <x:v>1523340 bytes; вложение прочитано полностью</x:v>
      </x:c>
    </x:row>
    <x:row r="120" ht="54" hidden="0" customHeight="1">
      <x:c r="A120" s="127" t="n">
        <x:v>116</x:v>
      </x:c>
      <x:c r="B120" s="127" t="str">
        <x:v>Local JSON</x:v>
      </x:c>
      <x:c r="C120" s="127" t="str">
        <x:v>2026-07-31</x:v>
      </x:c>
      <x:c r="D120" s="127" t="str">
        <x:v>output/ap-real-full-live-acceptance-2026-07-31/results.all.json</x:v>
      </x:c>
      <x:c r="E120" s="127" t="str"/>
      <x:c r="F120" s="127" t="str">
        <x:v>35 domains / 70 viewport QA</x:v>
      </x:c>
      <x:c r="G120" s="127" t="str">
        <x:v>Локальный артефакт аудита</x:v>
      </x:c>
      <x:c r="H120" s="127"/>
    </x:row>
    <x:row r="121" ht="43.20000076293945" hidden="0" customHeight="1">
      <x:c r="A121" s="127" t="n">
        <x:v>117</x:v>
      </x:c>
      <x:c r="B121" s="127" t="str">
        <x:v>Local JSON</x:v>
      </x:c>
      <x:c r="C121" s="127" t="str">
        <x:v>2026-07-31</x:v>
      </x:c>
      <x:c r="D121" s="127" t="str">
        <x:v>output/ap-real-invalid-delivery-2026-07-31.json</x:v>
      </x:c>
      <x:c r="E121" s="127" t="str"/>
      <x:c r="F121" s="127" t="str">
        <x:v>23 standard handlers, invalid-only</x:v>
      </x:c>
      <x:c r="G121" s="127" t="str">
        <x:v>Локальный артефакт аудита</x:v>
      </x:c>
      <x:c r="H121" s="127"/>
    </x:row>
    <x:row r="122" ht="54" hidden="0" customHeight="1">
      <x:c r="A122" s="127" t="n">
        <x:v>118</x:v>
      </x:c>
      <x:c r="B122" s="127" t="str">
        <x:v>Local JSON</x:v>
      </x:c>
      <x:c r="C122" s="127" t="str">
        <x:v>2026-07-31</x:v>
      </x:c>
      <x:c r="D122" s="127" t="str">
        <x:v>output/ap-real-custom-invalid-delivery-2026-07-31.json</x:v>
      </x:c>
      <x:c r="E122" s="127" t="str"/>
      <x:c r="F122" s="127" t="str">
        <x:v>5 custom sites × 2 forms, invalid-only</x:v>
      </x:c>
      <x:c r="G122" s="127" t="str">
        <x:v>Локальный артефакт аудита</x:v>
      </x:c>
      <x:c r="H122" s="127"/>
    </x:row>
    <x:row r="123" ht="43.20000076293945" hidden="0" customHeight="1">
      <x:c r="A123" s="127" t="n">
        <x:v>119</x:v>
      </x:c>
      <x:c r="B123" s="127" t="str">
        <x:v>Local JSON</x:v>
      </x:c>
      <x:c r="C123" s="127" t="str">
        <x:v>2026-07-30</x:v>
      </x:c>
      <x:c r="D123" s="127" t="str">
        <x:v>output/ap-real-portfolio-deploy-2026-07-30.json</x:v>
      </x:c>
      <x:c r="E123" s="127" t="str"/>
      <x:c r="F123" s="127" t="str">
        <x:v>Portfolio deploy evidence</x:v>
      </x:c>
      <x:c r="G123" s="127" t="str">
        <x:v>Локальный артефакт аудита</x:v>
      </x:c>
      <x:c r="H123" s="127"/>
    </x:row>
    <x:row r="124" ht="32.400001525878906" hidden="0" customHeight="1">
      <x:c r="A124" s="127" t="n">
        <x:v>120</x:v>
      </x:c>
      <x:c r="B124" s="127" t="str">
        <x:v>Local JSON</x:v>
      </x:c>
      <x:c r="C124" s="127" t="str">
        <x:v>2026-07-31</x:v>
      </x:c>
      <x:c r="D124" s="127" t="str">
        <x:v>output/monitoring/mail-dns.json</x:v>
      </x:c>
      <x:c r="E124" s="127" t="str"/>
      <x:c r="F124" s="127" t="str">
        <x:v>DNS/mail monitoring snapshot</x:v>
      </x:c>
      <x:c r="G124" s="127" t="str">
        <x:v>Локальный артефакт аудита</x:v>
      </x:c>
      <x:c r="H124" s="127"/>
    </x:row>
    <x:row r="125" ht="32.400001525878906" hidden="0" customHeight="1">
      <x:c r="A125" s="127" t="n">
        <x:v>121</x:v>
      </x:c>
      <x:c r="B125" s="127" t="str">
        <x:v>Local JSON</x:v>
      </x:c>
      <x:c r="C125" s="127" t="str">
        <x:v>2026-08-01</x:v>
      </x:c>
      <x:c r="D125" s="127" t="str">
        <x:v>client_tasks.json</x:v>
      </x:c>
      <x:c r="E125" s="127" t="str"/>
      <x:c r="F125" s="127" t="str">
        <x:v>Task register and status history</x:v>
      </x:c>
      <x:c r="G125" s="127" t="str">
        <x:v>Локальный артефакт аудита</x:v>
      </x:c>
      <x:c r="H125" s="127"/>
    </x:row>
    <x:row r="126" ht="43.20000076293945" hidden="0" customHeight="1">
      <x:c r="A126" s="127" t="n">
        <x:v>122</x:v>
      </x:c>
      <x:c r="B126" s="127" t="str">
        <x:v>Local MD</x:v>
      </x:c>
      <x:c r="C126" s="127" t="str">
        <x:v>2026-07-16</x:v>
      </x:c>
      <x:c r="D126" s="127" t="str">
        <x:v>Отчет-по-переносу-на-Beget-2026-07-16.md</x:v>
      </x:c>
      <x:c r="E126" s="127" t="str"/>
      <x:c r="F126" s="127" t="str">
        <x:v>Migration report</x:v>
      </x:c>
      <x:c r="G126" s="127" t="str">
        <x:v>Локальный артефакт аудита</x:v>
      </x:c>
      <x:c r="H126" s="127"/>
    </x:row>
    <x:row r="127" ht="86.4000015258789" hidden="0" customHeight="1">
      <x:c r="A127" s="128" t="n">
        <x:v>123</x:v>
      </x:c>
      <x:c r="B127" s="128" t="str">
        <x:v>Local PDF</x:v>
      </x:c>
      <x:c r="C127" s="128" t="str">
        <x:v>2026-07-31</x:v>
      </x:c>
      <x:c r="D127" s="128" t="str">
        <x:v>output/pdf/AP-Real-report-form-fixes-2026-07-31.pdf</x:v>
      </x:c>
      <x:c r="E127" s="128" t="str"/>
      <x:c r="F127" s="128" t="str">
        <x:v>Производный отчёт; выводы перепроверены и признаны завышенными</x:v>
      </x:c>
      <x:c r="G127" s="128" t="str">
        <x:v>Локальный артефакт аудита</x:v>
      </x:c>
      <x:c r="H127" s="12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f4a03c33bba4cac"/>
  </x:tableParts>
</x:worksheet>
</file>